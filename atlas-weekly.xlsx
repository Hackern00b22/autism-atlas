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his week" sheetId="1" r:id="rId1"/>
    <sheet name="Publications" sheetId="2" r:id="rId2"/>
    <sheet name="NIH grants" sheetId="3" r:id="rId3"/>
    <sheet name="Clinical trials" sheetId="4" r:id="rId4"/>
    <sheet name="Patents" sheetId="5" r:id="rId5"/>
    <sheet name="Press &amp; media" sheetId="6" r:id="rId6"/>
    <sheet name="Author papers" sheetId="7" r:id="rId7"/>
    <sheet name="Tracked authors" sheetId="8" r:id="rId8"/>
  </sheets>
</workbook>
</file>

<file path=xl/styles.xml><?xml version="1.0" encoding="utf-8"?>
<styleSheet xmlns="http://schemas.openxmlformats.org/spreadsheetml/2006/main">
  <fonts count="4">
    <font>
      <sz val="11"/>
      <name val="Calibri"/>
    </font>
    <font>
      <b/>
      <sz val="11"/>
      <name val="Calibri"/>
    </font>
    <font>
      <u/>
      <sz val="11"/>
      <color rgb="FF0563C1"/>
      <name val="Calibri"/>
    </font>
    <font>
      <b/>
      <sz val="14"/>
      <name val="Calibri"/>
    </font>
  </fonts>
  <fills count="3">
    <fill>
      <patternFill patternType="none"/>
    </fill>
    <fill>
      <patternFill patternType="gray125"/>
    </fill>
    <fill>
      <patternFill patternType="solid">
        <fgColor rgb="FFE8EEF4"/>
        <bgColor indexed="64"/>
      </patternFill>
    </fill>
  </fills>
  <borders count="1">
    <border>
      <left/>
      <right/>
      <top/>
      <bottom/>
      <diagonal/>
    </border>
  </borders>
  <cellStyleXfs count="1">
    <xf numFmtId="0" fontId="0" fillId="0" borderId="0"/>
  </cellStyleXfs>
  <cellXfs count="5">
    <xf numFmtId="0" fontId="0" fillId="0" borderId="0" xfId="0" applyAlignment="1">
      <alignment vertical="top" wrapText="1"/>
    </xf>
    <xf numFmtId="0" fontId="1" fillId="2" borderId="0" xfId="0" applyFont="1" applyFill="1" applyAlignment="1">
      <alignment vertical="center"/>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dimension ref="A1:J97"/>
  <cols>
    <col min="1" max="1" width="60"/>
    <col min="2" max="2" width="60"/>
    <col min="3" max="3" width="60"/>
    <col min="4" max="4" width="60"/>
    <col min="5" max="5" width="60"/>
    <col min="6" max="6" width="58"/>
    <col min="7" max="7" width="22"/>
    <col min="8" max="8" width="12"/>
    <col min="9" max="9" width="60"/>
    <col min="10" max="10" width="11"/>
  </cols>
  <sheetData>
    <row r="1">
      <c r="A1" s="4" t="inlineStr">
        <is>
          <t xml:space="preserve">Autism Research Network Atlas — weekly briefing</t>
        </is>
      </c>
    </row>
    <row r="2">
      <c r="A2" t="inlineStr">
        <is>
          <t xml:space="preserve">Window: 2026-10-21 to 2026-10-28 (last 7 days) · generated 2026-10-28T11:12 · library refreshed 2026-10-24</t>
        </is>
      </c>
    </row>
    <row r="3"/>
    <row r="4">
      <c r="A4" s="2" t="inlineStr">
        <is>
          <t xml:space="preserve">AT A GLANCE</t>
        </is>
      </c>
      <c r="B4" s="1" t="inlineStr">
        <is>
          <t xml:space="preserve">This window</t>
        </is>
      </c>
      <c r="C4" s="1" t="inlineStr">
        <is>
          <t xml:space="preserve">Previous window</t>
        </is>
      </c>
      <c r="D4" s="1" t="inlineStr">
        <is>
          <t xml:space="preserve">Change</t>
        </is>
      </c>
      <c r="E4" s="1" t="inlineStr">
        <is>
          <t xml:space="preserve">Windows compared</t>
        </is>
      </c>
    </row>
    <row r="5">
      <c r="A5" t="inlineStr">
        <is>
          <t xml:space="preserve">Each lane counts the rows dated inside its own window, ending today; the previous window is the same number of days immediately before it, counted by the same rule; Change is this minus previous.</t>
        </is>
      </c>
    </row>
    <row r="6">
      <c r="A6" t="inlineStr">
        <is>
          <t xml:space="preserve">Publications added or published</t>
        </is>
      </c>
      <c r="B6" t="inlineStr">
        <is>
          <t xml:space="preserve">40</t>
        </is>
      </c>
      <c r="C6" t="inlineStr">
        <is>
          <t xml:space="preserve">50</t>
        </is>
      </c>
      <c r="D6" t="inlineStr">
        <is>
          <t xml:space="preserve">−10</t>
        </is>
      </c>
      <c r="E6" t="inlineStr">
        <is>
          <t xml:space="preserve">last 7 days (2026-10-21 to 2026-10-28), previous 2026-10-13 to 2026-10-20</t>
        </is>
      </c>
    </row>
    <row r="7">
      <c r="A7" t="inlineStr">
        <is>
          <t xml:space="preserve">Press releases</t>
        </is>
      </c>
      <c r="B7" t="inlineStr">
        <is>
          <t xml:space="preserve">13</t>
        </is>
      </c>
      <c r="C7" t="inlineStr">
        <is>
          <t xml:space="preserve">10</t>
        </is>
      </c>
      <c r="D7" t="inlineStr">
        <is>
          <t xml:space="preserve">+3</t>
        </is>
      </c>
      <c r="E7" t="inlineStr">
        <is>
          <t xml:space="preserve">last 7 days (2026-10-21 to 2026-10-28), previous 2026-10-13 to 2026-10-20</t>
        </is>
      </c>
    </row>
    <row r="8">
      <c r="A8" t="inlineStr">
        <is>
          <t xml:space="preserve">NIH awards noticed</t>
        </is>
      </c>
      <c r="B8" t="inlineStr">
        <is>
          <t xml:space="preserve">434</t>
        </is>
      </c>
      <c r="C8" t="inlineStr">
        <is>
          <t xml:space="preserve">505</t>
        </is>
      </c>
      <c r="D8" t="inlineStr">
        <is>
          <t xml:space="preserve">−71</t>
        </is>
      </c>
      <c r="E8" t="inlineStr">
        <is>
          <t xml:space="preserve">last 90 days (2026-07-30 to 2026-10-28), previous 2026-04-30 to 2026-07-29</t>
        </is>
      </c>
    </row>
    <row r="9">
      <c r="A9" t="inlineStr">
        <is>
          <t xml:space="preserve">NIH dollars noticed</t>
        </is>
      </c>
      <c r="B9" t="inlineStr">
        <is>
          <t xml:space="preserve">$259.2M</t>
        </is>
      </c>
      <c r="C9" t="inlineStr">
        <is>
          <t xml:space="preserve">$275.7M</t>
        </is>
      </c>
      <c r="D9" t="inlineStr">
        <is>
          <t xml:space="preserve">−$16.5M</t>
        </is>
      </c>
      <c r="E9" t="inlineStr">
        <is>
          <t xml:space="preserve">last 90 days (2026-07-30 to 2026-10-28), previous 2026-04-30 to 2026-07-29</t>
        </is>
      </c>
    </row>
    <row r="10">
      <c r="A10" t="inlineStr">
        <is>
          <t xml:space="preserve">Clinical trials updated (12 new)</t>
        </is>
      </c>
      <c r="B10" t="inlineStr">
        <is>
          <t xml:space="preserve">75</t>
        </is>
      </c>
      <c r="C10" t="inlineStr">
        <is>
          <t xml:space="preserve">78</t>
        </is>
      </c>
      <c r="D10" t="inlineStr">
        <is>
          <t xml:space="preserve">−3</t>
        </is>
      </c>
      <c r="E10" t="inlineStr">
        <is>
          <t xml:space="preserve">last 30 days (2026-09-28 to 2026-10-28), previous 2026-08-28 to 2026-09-27</t>
        </is>
      </c>
    </row>
    <row r="11">
      <c r="A11" t="inlineStr">
        <is>
          <t xml:space="preserve">Patents published or granted</t>
        </is>
      </c>
      <c r="B11" t="inlineStr">
        <is>
          <t xml:space="preserve">8</t>
        </is>
      </c>
      <c r="C11" t="inlineStr">
        <is>
          <t xml:space="preserve">16</t>
        </is>
      </c>
      <c r="D11" t="inlineStr">
        <is>
          <t xml:space="preserve">−8</t>
        </is>
      </c>
      <c r="E11" t="inlineStr">
        <is>
          <t xml:space="preserve">last 90 days (2026-07-30 to 2026-10-28), previous 2026-04-30 to 2026-07-29</t>
        </is>
      </c>
    </row>
    <row r="12">
      <c r="A12" t="inlineStr">
        <is>
          <t xml:space="preserve">Tracked-author papers</t>
        </is>
      </c>
      <c r="B12" t="inlineStr">
        <is>
          <t xml:space="preserve">0</t>
        </is>
      </c>
      <c r="C12" t="inlineStr">
        <is>
          <t xml:space="preserve"/>
        </is>
      </c>
      <c r="D12" t="inlineStr">
        <is>
          <t xml:space="preserve"/>
        </is>
      </c>
      <c r="E12" t="inlineStr">
        <is>
          <t xml:space="preserve">nothing in the last 7 days — the 25 most recent instead</t>
        </is>
      </c>
    </row>
    <row r="13"/>
    <row r="14">
      <c r="A14" s="2" t="inlineStr">
        <is>
          <t xml:space="preserve">HIGHLIGHTS</t>
        </is>
      </c>
      <c r="B14" t="inlineStr">
        <is>
          <t xml:space="preserve">Top 10 of 40 papers in this window, ranked by journal impact × priority × therapeutic modality × citations</t>
        </is>
      </c>
    </row>
    <row r="15">
      <c r="A15" s="1" t="inlineStr">
        <is>
          <t xml:space="preserve">#</t>
        </is>
      </c>
      <c r="B15" s="1" t="inlineStr">
        <is>
          <t xml:space="preserve">Published</t>
        </is>
      </c>
      <c r="C15" s="1" t="inlineStr">
        <is>
          <t xml:space="preserve">Title</t>
        </is>
      </c>
      <c r="D15" s="1" t="inlineStr">
        <is>
          <t xml:space="preserve">First author</t>
        </is>
      </c>
      <c r="E15" s="1" t="inlineStr">
        <is>
          <t xml:space="preserve">Journal</t>
        </is>
      </c>
      <c r="F15" s="1" t="inlineStr">
        <is>
          <t xml:space="preserve">IF</t>
        </is>
      </c>
      <c r="G15" s="1" t="inlineStr">
        <is>
          <t xml:space="preserve">Priority</t>
        </is>
      </c>
      <c r="H15" s="1" t="inlineStr">
        <is>
          <t xml:space="preserve">Modalities</t>
        </is>
      </c>
      <c r="I15" s="1" t="inlineStr">
        <is>
          <t xml:space="preserve">Why it surfaced</t>
        </is>
      </c>
      <c r="J15" s="1" t="inlineStr">
        <is>
          <t xml:space="preserve">PMID</t>
        </is>
      </c>
    </row>
    <row r="16">
      <c r="A16" t="inlineStr">
        <is>
          <t xml:space="preserve">1</t>
        </is>
      </c>
      <c r="B16" t="inlineStr">
        <is>
          <t xml:space="preserve">2026-10-22</t>
        </is>
      </c>
      <c r="C16" s="3" t="str">
        <f>HYPERLINK("https://pubmed.ncbi.nlm.nih.gov/42914007/","Cariprazine in the Treatment of Pediatric Patients With Irritability Associated With Autism Spectrum Disorder: A Randomized Controlled Trial.")</f>
        <v>Cariprazine in the Treatment of Pediatric Patients With Irritability Associated With Autism Spectrum Disorder: A Randomized Controlled Trial.</v>
      </c>
      <c r="D16" t="inlineStr">
        <is>
          <t xml:space="preserve">Findling RL</t>
        </is>
      </c>
      <c r="E16" t="inlineStr">
        <is>
          <t xml:space="preserve">Journal of the American Academy of Child &amp; Adolescent Psychiatry</t>
        </is>
      </c>
      <c r="F16" t="inlineStr">
        <is>
          <t xml:space="preserve">9.2</t>
        </is>
      </c>
      <c r="G16" t="inlineStr">
        <is>
          <t xml:space="preserve">Clinical trial</t>
        </is>
      </c>
      <c r="H16" t="inlineStr">
        <is>
          <t xml:space="preserve"/>
        </is>
      </c>
      <c r="I16" t="inlineStr">
        <is>
          <t xml:space="preserve">Journal of the American Academy of Child &amp; Adolescent Psychiatry (IF 9.2) · Clinical trial</t>
        </is>
      </c>
      <c r="J16" t="inlineStr">
        <is>
          <t xml:space="preserve">42914007</t>
        </is>
      </c>
    </row>
    <row r="17">
      <c r="A17" t="inlineStr">
        <is>
          <t xml:space="preserve">2</t>
        </is>
      </c>
      <c r="B17" t="inlineStr">
        <is>
          <t xml:space="preserve">2026-10-15</t>
        </is>
      </c>
      <c r="C17" s="3" t="str">
        <f>HYPERLINK("https://pubmed.ncbi.nlm.nih.gov/42881222/","Spatiotemporal AI-based modeling of gene regulation and variant effects in the developing human brain using Seal.")</f>
        <v>Spatiotemporal AI-based modeling of gene regulation and variant effects in the developing human brain using Seal.</v>
      </c>
      <c r="D17" t="inlineStr">
        <is>
          <t xml:space="preserve">Hao Y</t>
        </is>
      </c>
      <c r="E17" t="inlineStr">
        <is>
          <t xml:space="preserve">Nature Neuroscience</t>
        </is>
      </c>
      <c r="F17" t="inlineStr">
        <is>
          <t xml:space="preserve">21.2</t>
        </is>
      </c>
      <c r="G17" t="inlineStr">
        <is>
          <t xml:space="preserve">Clinical observation</t>
        </is>
      </c>
      <c r="H17" t="inlineStr">
        <is>
          <t xml:space="preserve"/>
        </is>
      </c>
      <c r="I17" t="inlineStr">
        <is>
          <t xml:space="preserve">Nature Neuroscience (IF 21.2) · Clinical observation · 1 citation</t>
        </is>
      </c>
      <c r="J17" t="inlineStr">
        <is>
          <t xml:space="preserve">42881222</t>
        </is>
      </c>
    </row>
    <row r="18">
      <c r="A18" t="inlineStr">
        <is>
          <t xml:space="preserve">3</t>
        </is>
      </c>
      <c r="B18" t="inlineStr">
        <is>
          <t xml:space="preserve">2026-10-22</t>
        </is>
      </c>
      <c r="C18" s="3" t="str">
        <f>HYPERLINK("https://pubmed.ncbi.nlm.nih.gov/42911480/","Feasibility, Acceptability, and Efficacy of an Ecological Momentary Intervention for Autistic Adults.")</f>
        <v>Feasibility, Acceptability, and Efficacy of an Ecological Momentary Intervention for Autistic Adults.</v>
      </c>
      <c r="D18" t="inlineStr">
        <is>
          <t xml:space="preserve">Parenteau CI</t>
        </is>
      </c>
      <c r="E18" t="inlineStr">
        <is>
          <t xml:space="preserve">Journal of Autism and Developmental Disorders</t>
        </is>
      </c>
      <c r="F18" t="inlineStr">
        <is>
          <t xml:space="preserve">3.2</t>
        </is>
      </c>
      <c r="G18" t="inlineStr">
        <is>
          <t xml:space="preserve">Clinical trial</t>
        </is>
      </c>
      <c r="H18" t="inlineStr">
        <is>
          <t xml:space="preserve"/>
        </is>
      </c>
      <c r="I18" t="inlineStr">
        <is>
          <t xml:space="preserve">Journal of Autism and Developmental Disorders (IF 3.2) · Clinical trial</t>
        </is>
      </c>
      <c r="J18" t="inlineStr">
        <is>
          <t xml:space="preserve">42911480</t>
        </is>
      </c>
    </row>
    <row r="19">
      <c r="A19" t="inlineStr">
        <is>
          <t xml:space="preserve">4</t>
        </is>
      </c>
      <c r="B19" t="inlineStr">
        <is>
          <t xml:space="preserve">2026-10-22</t>
        </is>
      </c>
      <c r="C19" s="3" t="str">
        <f>HYPERLINK("https://pubmed.ncbi.nlm.nih.gov/42911477/","Fatty Acid Supplementation in Toddlers Born Preterm and Attention and Autism Outcomes at 8-10 Years: Omega Tots Randomized Controlled Trial Long-Term Follow-Up.")</f>
        <v>Fatty Acid Supplementation in Toddlers Born Preterm and Attention and Autism Outcomes at 8-10 Years: Omega Tots Randomized Controlled Trial Long-Term Follow-Up.</v>
      </c>
      <c r="D19" t="inlineStr">
        <is>
          <t xml:space="preserve">Robinette LM</t>
        </is>
      </c>
      <c r="E19" t="inlineStr">
        <is>
          <t xml:space="preserve">Journal of Autism and Developmental Disorders</t>
        </is>
      </c>
      <c r="F19" t="inlineStr">
        <is>
          <t xml:space="preserve">3.2</t>
        </is>
      </c>
      <c r="G19" t="inlineStr">
        <is>
          <t xml:space="preserve">Clinical trial</t>
        </is>
      </c>
      <c r="H19" t="inlineStr">
        <is>
          <t xml:space="preserve"/>
        </is>
      </c>
      <c r="I19" t="inlineStr">
        <is>
          <t xml:space="preserve">Journal of Autism and Developmental Disorders (IF 3.2) · Clinical trial</t>
        </is>
      </c>
      <c r="J19" t="inlineStr">
        <is>
          <t xml:space="preserve">42911477</t>
        </is>
      </c>
    </row>
    <row r="20">
      <c r="A20" t="inlineStr">
        <is>
          <t xml:space="preserve">5</t>
        </is>
      </c>
      <c r="B20" t="inlineStr">
        <is>
          <t xml:space="preserve">2026-10-20</t>
        </is>
      </c>
      <c r="C20" s="3" t="str">
        <f>HYPERLINK("https://pubmed.ncbi.nlm.nih.gov/42901987/","The landscape of gene loss and missense variation across the mammalian tree informs on gene essentiality.")</f>
        <v>The landscape of gene loss and missense variation across the mammalian tree informs on gene essentiality.</v>
      </c>
      <c r="D20" t="inlineStr">
        <is>
          <t xml:space="preserve">Liao C</t>
        </is>
      </c>
      <c r="E20" t="inlineStr">
        <is>
          <t xml:space="preserve">Nature Genetics</t>
        </is>
      </c>
      <c r="F20" t="inlineStr">
        <is>
          <t xml:space="preserve">29.0</t>
        </is>
      </c>
      <c r="G20" t="inlineStr">
        <is>
          <t xml:space="preserve">Unclassified</t>
        </is>
      </c>
      <c r="H20" t="inlineStr">
        <is>
          <t xml:space="preserve"/>
        </is>
      </c>
      <c r="I20" t="inlineStr">
        <is>
          <t xml:space="preserve">Nature Genetics (IF 29.0)</t>
        </is>
      </c>
      <c r="J20" t="inlineStr">
        <is>
          <t xml:space="preserve">42901987</t>
        </is>
      </c>
    </row>
    <row r="21">
      <c r="A21" t="inlineStr">
        <is>
          <t xml:space="preserve">6</t>
        </is>
      </c>
      <c r="B21" t="inlineStr">
        <is>
          <t xml:space="preserve">2026-10-17</t>
        </is>
      </c>
      <c r="C21" s="3" t="str">
        <f>HYPERLINK("https://pubmed.ncbi.nlm.nih.gov/42892634/","A microglial basis for fragile X syndrome via impairment of FMRP-regulated lysosomal function.")</f>
        <v>A microglial basis for fragile X syndrome via impairment of FMRP-regulated lysosomal function.</v>
      </c>
      <c r="D21" t="inlineStr">
        <is>
          <t xml:space="preserve">Li H</t>
        </is>
      </c>
      <c r="E21" t="inlineStr">
        <is>
          <t xml:space="preserve">Molecular Psychiatry</t>
        </is>
      </c>
      <c r="F21" t="inlineStr">
        <is>
          <t xml:space="preserve">11.0</t>
        </is>
      </c>
      <c r="G21" t="inlineStr">
        <is>
          <t xml:space="preserve">Mechanistic / basic</t>
        </is>
      </c>
      <c r="H21" t="inlineStr">
        <is>
          <t xml:space="preserve"/>
        </is>
      </c>
      <c r="I21" t="inlineStr">
        <is>
          <t xml:space="preserve">Molecular Psychiatry (IF 11.0) · Mechanistic / basic · 1 citation</t>
        </is>
      </c>
      <c r="J21" t="inlineStr">
        <is>
          <t xml:space="preserve">42892634</t>
        </is>
      </c>
    </row>
    <row r="22">
      <c r="A22" t="inlineStr">
        <is>
          <t xml:space="preserve">7</t>
        </is>
      </c>
      <c r="B22" t="inlineStr">
        <is>
          <t xml:space="preserve">2026-10-13</t>
        </is>
      </c>
      <c r="C22" s="3" t="str">
        <f>HYPERLINK("https://pubmed.ncbi.nlm.nih.gov/42905887/","KATNAL2 dysfunction impairs microtubule dynamics and contributes to syndromic neurodevelopmental disease.")</f>
        <v>KATNAL2 dysfunction impairs microtubule dynamics and contributes to syndromic neurodevelopmental disease.</v>
      </c>
      <c r="D22" t="inlineStr">
        <is>
          <t xml:space="preserve">Sönmezler E</t>
        </is>
      </c>
      <c r="E22" t="inlineStr">
        <is>
          <t xml:space="preserve">Human molecular genetics</t>
        </is>
      </c>
      <c r="F22" t="inlineStr">
        <is>
          <t xml:space="preserve">3.2</t>
        </is>
      </c>
      <c r="G22" t="inlineStr">
        <is>
          <t xml:space="preserve">Bench-to-bedside</t>
        </is>
      </c>
      <c r="H22" t="inlineStr">
        <is>
          <t xml:space="preserve"/>
        </is>
      </c>
      <c r="I22" t="inlineStr">
        <is>
          <t xml:space="preserve">Human molecular genetics (IF 3.2) · Bench-to-bedside</t>
        </is>
      </c>
      <c r="J22" t="inlineStr">
        <is>
          <t xml:space="preserve">42905887</t>
        </is>
      </c>
    </row>
    <row r="23">
      <c r="A23" t="inlineStr">
        <is>
          <t xml:space="preserve">8</t>
        </is>
      </c>
      <c r="B23" t="inlineStr">
        <is>
          <t xml:space="preserve">2026-10-23</t>
        </is>
      </c>
      <c r="C23" s="3" t="str">
        <f>HYPERLINK("https://pubmed.ncbi.nlm.nih.gov/42919820/","Psychological and Neurodevelopmental Correlates of Extreme Demand Avoidance in a Clinical Sample, an Exploratory Study.")</f>
        <v>Psychological and Neurodevelopmental Correlates of Extreme Demand Avoidance in a Clinical Sample, an Exploratory Study.</v>
      </c>
      <c r="D23" t="inlineStr">
        <is>
          <t xml:space="preserve">Lack O</t>
        </is>
      </c>
      <c r="E23" t="inlineStr">
        <is>
          <t xml:space="preserve">Autism Research</t>
        </is>
      </c>
      <c r="F23" t="inlineStr">
        <is>
          <t xml:space="preserve">5.2</t>
        </is>
      </c>
      <c r="G23" t="inlineStr">
        <is>
          <t xml:space="preserve">Clinical observation</t>
        </is>
      </c>
      <c r="H23" t="inlineStr">
        <is>
          <t xml:space="preserve"/>
        </is>
      </c>
      <c r="I23" t="inlineStr">
        <is>
          <t xml:space="preserve">Autism Research (IF 5.2) · Clinical observation</t>
        </is>
      </c>
      <c r="J23" t="inlineStr">
        <is>
          <t xml:space="preserve">42919820</t>
        </is>
      </c>
    </row>
    <row r="24">
      <c r="A24" t="inlineStr">
        <is>
          <t xml:space="preserve">9</t>
        </is>
      </c>
      <c r="B24" t="inlineStr">
        <is>
          <t xml:space="preserve">2026-10-15</t>
        </is>
      </c>
      <c r="C24" s="3" t="str">
        <f>HYPERLINK("https://pubmed.ncbi.nlm.nih.gov/42892189/","Predicting individual differences in social functioning from functional connectomes in children with autism spectrum disorder.")</f>
        <v>Predicting individual differences in social functioning from functional connectomes in children with autism spectrum disorder.</v>
      </c>
      <c r="D24" t="inlineStr">
        <is>
          <t xml:space="preserve">Li A</t>
        </is>
      </c>
      <c r="E24" t="inlineStr">
        <is>
          <t xml:space="preserve">Psychiatry research</t>
        </is>
      </c>
      <c r="F24" t="inlineStr">
        <is>
          <t xml:space="preserve">4.6</t>
        </is>
      </c>
      <c r="G24" t="inlineStr">
        <is>
          <t xml:space="preserve">Clinical observation</t>
        </is>
      </c>
      <c r="H24" t="inlineStr">
        <is>
          <t xml:space="preserve"/>
        </is>
      </c>
      <c r="I24" t="inlineStr">
        <is>
          <t xml:space="preserve">Psychiatry research (IF 4.6) · Clinical observation</t>
        </is>
      </c>
      <c r="J24" t="inlineStr">
        <is>
          <t xml:space="preserve">42892189</t>
        </is>
      </c>
    </row>
    <row r="25">
      <c r="A25" t="inlineStr">
        <is>
          <t xml:space="preserve">10</t>
        </is>
      </c>
      <c r="B25" t="inlineStr">
        <is>
          <t xml:space="preserve">2026-10-22</t>
        </is>
      </c>
      <c r="C25" s="3" t="str">
        <f>HYPERLINK("https://pubmed.ncbi.nlm.nih.gov/42911835/","Multimodal Analysis of Brain Network Abnormalities in Autism Spectrum Disorder: a Graph Neural Network-based Fusion Investigation of EEG and fNIRS.")</f>
        <v>Multimodal Analysis of Brain Network Abnormalities in Autism Spectrum Disorder: a Graph Neural Network-based Fusion Investigation of EEG and fNIRS.</v>
      </c>
      <c r="D25" t="inlineStr">
        <is>
          <t xml:space="preserve">Li Y</t>
        </is>
      </c>
      <c r="E25" t="inlineStr">
        <is>
          <t xml:space="preserve">IEEE transactions on bio-medical engineering</t>
        </is>
      </c>
      <c r="F25" t="inlineStr">
        <is>
          <t xml:space="preserve">4.1</t>
        </is>
      </c>
      <c r="G25" t="inlineStr">
        <is>
          <t xml:space="preserve">Clinical observation</t>
        </is>
      </c>
      <c r="H25" t="inlineStr">
        <is>
          <t xml:space="preserve"/>
        </is>
      </c>
      <c r="I25" t="inlineStr">
        <is>
          <t xml:space="preserve">IEEE transactions on bio-medical engineering (IF 4.1) · Clinical observation</t>
        </is>
      </c>
      <c r="J25" t="inlineStr">
        <is>
          <t xml:space="preserve">42911835</t>
        </is>
      </c>
    </row>
    <row r="26"/>
    <row r="27">
      <c r="A27" s="2" t="inlineStr">
        <is>
          <t xml:space="preserve">BY BRANCH</t>
        </is>
      </c>
      <c r="B27" s="1" t="inlineStr">
        <is>
          <t xml:space="preserve">This window</t>
        </is>
      </c>
      <c r="C27" s="1" t="inlineStr">
        <is>
          <t xml:space="preserve">Previous (2026-10-13 to 2026-10-20)</t>
        </is>
      </c>
      <c r="D27" s="1" t="inlineStr">
        <is>
          <t xml:space="preserve">Change</t>
        </is>
      </c>
    </row>
    <row r="28">
      <c r="A28" t="inlineStr">
        <is>
          <t xml:space="preserve">Behavioral &amp; Developmental</t>
        </is>
      </c>
      <c r="B28" t="inlineStr">
        <is>
          <t xml:space="preserve">16</t>
        </is>
      </c>
      <c r="C28" t="inlineStr">
        <is>
          <t xml:space="preserve">14</t>
        </is>
      </c>
      <c r="D28" t="inlineStr">
        <is>
          <t xml:space="preserve">+2</t>
        </is>
      </c>
    </row>
    <row r="29">
      <c r="A29" t="inlineStr">
        <is>
          <t xml:space="preserve">Intervention &amp; Clinical</t>
        </is>
      </c>
      <c r="B29" t="inlineStr">
        <is>
          <t xml:space="preserve">11</t>
        </is>
      </c>
      <c r="C29" t="inlineStr">
        <is>
          <t xml:space="preserve">16</t>
        </is>
      </c>
      <c r="D29" t="inlineStr">
        <is>
          <t xml:space="preserve">−5</t>
        </is>
      </c>
    </row>
    <row r="30">
      <c r="A30" t="inlineStr">
        <is>
          <t xml:space="preserve">Genetics &amp; Molecular</t>
        </is>
      </c>
      <c r="B30" t="inlineStr">
        <is>
          <t xml:space="preserve">6</t>
        </is>
      </c>
      <c r="C30" t="inlineStr">
        <is>
          <t xml:space="preserve">7</t>
        </is>
      </c>
      <c r="D30" t="inlineStr">
        <is>
          <t xml:space="preserve">−1</t>
        </is>
      </c>
    </row>
    <row r="31">
      <c r="A31" t="inlineStr">
        <is>
          <t xml:space="preserve">Neuroscience &amp; Imaging</t>
        </is>
      </c>
      <c r="B31" t="inlineStr">
        <is>
          <t xml:space="preserve">5</t>
        </is>
      </c>
      <c r="C31" t="inlineStr">
        <is>
          <t xml:space="preserve">6</t>
        </is>
      </c>
      <c r="D31" t="inlineStr">
        <is>
          <t xml:space="preserve">−1</t>
        </is>
      </c>
    </row>
    <row r="32">
      <c r="A32" t="inlineStr">
        <is>
          <t xml:space="preserve">Cytokines &amp; Inflammation</t>
        </is>
      </c>
      <c r="B32" t="inlineStr">
        <is>
          <t xml:space="preserve">1</t>
        </is>
      </c>
      <c r="C32" t="inlineStr">
        <is>
          <t xml:space="preserve">5</t>
        </is>
      </c>
      <c r="D32" t="inlineStr">
        <is>
          <t xml:space="preserve">−4</t>
        </is>
      </c>
    </row>
    <row r="33">
      <c r="A33" t="inlineStr">
        <is>
          <t xml:space="preserve">Neuroimmunology</t>
        </is>
      </c>
      <c r="B33" t="inlineStr">
        <is>
          <t xml:space="preserve">1</t>
        </is>
      </c>
      <c r="C33" t="inlineStr">
        <is>
          <t xml:space="preserve">2</t>
        </is>
      </c>
      <c r="D33" t="inlineStr">
        <is>
          <t xml:space="preserve">−1</t>
        </is>
      </c>
    </row>
    <row r="34"/>
    <row r="35">
      <c r="A35" s="2" t="inlineStr">
        <is>
          <t xml:space="preserve">BY THERAPEUTIC MODALITY</t>
        </is>
      </c>
      <c r="B35" s="1" t="inlineStr">
        <is>
          <t xml:space="preserve">This window</t>
        </is>
      </c>
      <c r="C35" s="1" t="inlineStr">
        <is>
          <t xml:space="preserve">Previous (2026-10-13 to 2026-10-20)</t>
        </is>
      </c>
      <c r="D35" s="1" t="inlineStr">
        <is>
          <t xml:space="preserve">Change</t>
        </is>
      </c>
    </row>
    <row r="36">
      <c r="A36" t="inlineStr">
        <is>
          <t xml:space="preserve">Gene therapy</t>
        </is>
      </c>
      <c r="B36" t="inlineStr">
        <is>
          <t xml:space="preserve">0</t>
        </is>
      </c>
      <c r="C36" t="inlineStr">
        <is>
          <t xml:space="preserve">1</t>
        </is>
      </c>
      <c r="D36" t="inlineStr">
        <is>
          <t xml:space="preserve">−1</t>
        </is>
      </c>
    </row>
    <row r="37">
      <c r="A37" t="inlineStr">
        <is>
          <t xml:space="preserve">Nucleic acid therapeutics</t>
        </is>
      </c>
      <c r="B37" t="inlineStr">
        <is>
          <t xml:space="preserve">0</t>
        </is>
      </c>
      <c r="C37" t="inlineStr">
        <is>
          <t xml:space="preserve">0</t>
        </is>
      </c>
      <c r="D37" t="inlineStr">
        <is>
          <t xml:space="preserve">0</t>
        </is>
      </c>
    </row>
    <row r="38">
      <c r="A38" t="inlineStr">
        <is>
          <t xml:space="preserve">Viral vector</t>
        </is>
      </c>
      <c r="B38" t="inlineStr">
        <is>
          <t xml:space="preserve">0</t>
        </is>
      </c>
      <c r="C38" t="inlineStr">
        <is>
          <t xml:space="preserve">0</t>
        </is>
      </c>
      <c r="D38" t="inlineStr">
        <is>
          <t xml:space="preserve">0</t>
        </is>
      </c>
    </row>
    <row r="39">
      <c r="A39" t="inlineStr">
        <is>
          <t xml:space="preserve">Antibody</t>
        </is>
      </c>
      <c r="B39" t="inlineStr">
        <is>
          <t xml:space="preserve">0</t>
        </is>
      </c>
      <c r="C39" t="inlineStr">
        <is>
          <t xml:space="preserve">0</t>
        </is>
      </c>
      <c r="D39" t="inlineStr">
        <is>
          <t xml:space="preserve">0</t>
        </is>
      </c>
    </row>
    <row r="40">
      <c r="A40" t="inlineStr">
        <is>
          <t xml:space="preserve">Peptide</t>
        </is>
      </c>
      <c r="B40" t="inlineStr">
        <is>
          <t xml:space="preserve">0</t>
        </is>
      </c>
      <c r="C40" t="inlineStr">
        <is>
          <t xml:space="preserve">0</t>
        </is>
      </c>
      <c r="D40" t="inlineStr">
        <is>
          <t xml:space="preserve">0</t>
        </is>
      </c>
    </row>
    <row r="41">
      <c r="A41" t="inlineStr">
        <is>
          <t xml:space="preserve">Small molecule</t>
        </is>
      </c>
      <c r="B41" t="inlineStr">
        <is>
          <t xml:space="preserve">0</t>
        </is>
      </c>
      <c r="C41" t="inlineStr">
        <is>
          <t xml:space="preserve">1</t>
        </is>
      </c>
      <c r="D41" t="inlineStr">
        <is>
          <t xml:space="preserve">−1</t>
        </is>
      </c>
    </row>
    <row r="42">
      <c r="A42" t="inlineStr">
        <is>
          <t xml:space="preserve">Device / stimulation</t>
        </is>
      </c>
      <c r="B42" t="inlineStr">
        <is>
          <t xml:space="preserve">0</t>
        </is>
      </c>
      <c r="C42" t="inlineStr">
        <is>
          <t xml:space="preserve">1</t>
        </is>
      </c>
      <c r="D42" t="inlineStr">
        <is>
          <t xml:space="preserve">−1</t>
        </is>
      </c>
    </row>
    <row r="43">
      <c r="A43" t="inlineStr">
        <is>
          <t xml:space="preserve">Behavioral</t>
        </is>
      </c>
      <c r="B43" t="inlineStr">
        <is>
          <t xml:space="preserve">0</t>
        </is>
      </c>
      <c r="C43" t="inlineStr">
        <is>
          <t xml:space="preserve">5</t>
        </is>
      </c>
      <c r="D43" t="inlineStr">
        <is>
          <t xml:space="preserve">−5</t>
        </is>
      </c>
    </row>
    <row r="44"/>
    <row r="45">
      <c r="A45" s="2" t="inlineStr">
        <is>
          <t xml:space="preserve">NIH GRANTS</t>
        </is>
      </c>
      <c r="B45" t="inlineStr">
        <is>
          <t xml:space="preserve">434 awards noticed, $259.2M — last 90 days (2026-07-30 to 2026-10-28)</t>
        </is>
      </c>
    </row>
    <row r="46">
      <c r="A46" s="1" t="inlineStr">
        <is>
          <t xml:space="preserve">Notice</t>
        </is>
      </c>
      <c r="B46" s="1" t="inlineStr">
        <is>
          <t xml:space="preserve">Project</t>
        </is>
      </c>
      <c r="C46" s="1" t="inlineStr">
        <is>
          <t xml:space="preserve">Title</t>
        </is>
      </c>
      <c r="D46" s="1" t="inlineStr">
        <is>
          <t xml:space="preserve">Contact PI</t>
        </is>
      </c>
      <c r="E46" s="1" t="inlineStr">
        <is>
          <t xml:space="preserve">Organization</t>
        </is>
      </c>
      <c r="F46" s="1" t="inlineStr">
        <is>
          <t xml:space="preserve">Award</t>
        </is>
      </c>
    </row>
    <row r="47">
      <c r="A47" t="inlineStr">
        <is>
          <t xml:space="preserve">2026-08-27</t>
        </is>
      </c>
      <c r="B47" t="inlineStr">
        <is>
          <t xml:space="preserve">5U2CHL156291-07</t>
        </is>
      </c>
      <c r="C47" s="3" t="str">
        <f>HYPERLINK("https://reporter.nih.gov/project-details/11525080","The INCLUDE Data Coordinating Center")</f>
        <v>The INCLUDE Data Coordinating Center</v>
      </c>
      <c r="D47" t="inlineStr">
        <is>
          <t xml:space="preserve">Adam Cain Resnick</t>
        </is>
      </c>
      <c r="E47" t="inlineStr">
        <is>
          <t xml:space="preserve">CHILDREN'S HOSP OF PHILADELPHIA</t>
        </is>
      </c>
      <c r="F47" t="inlineStr">
        <is>
          <t xml:space="preserve">$6.0M</t>
        </is>
      </c>
    </row>
    <row r="48">
      <c r="A48" t="inlineStr">
        <is>
          <t xml:space="preserve">2026-08-14</t>
        </is>
      </c>
      <c r="B48" t="inlineStr">
        <is>
          <t xml:space="preserve">5U24AG092191-03</t>
        </is>
      </c>
      <c r="C48" s="3" t="str">
        <f>HYPERLINK("https://reporter.nih.gov/project-details/11385482","The INCLUDE Project Down Syndrome Biorepository (DS-Biorepository)")</f>
        <v>The INCLUDE Project Down Syndrome Biorepository (DS-Biorepository)</v>
      </c>
      <c r="D48" t="inlineStr">
        <is>
          <t xml:space="preserve">Joaquin M. Espinosa</t>
        </is>
      </c>
      <c r="E48" t="inlineStr">
        <is>
          <t xml:space="preserve">UNIVERSITY OF COLORADO DENVER</t>
        </is>
      </c>
      <c r="F48" t="inlineStr">
        <is>
          <t xml:space="preserve">$5.3M</t>
        </is>
      </c>
    </row>
    <row r="49">
      <c r="A49" t="inlineStr">
        <is>
          <t xml:space="preserve">2026-08-14</t>
        </is>
      </c>
      <c r="B49" t="inlineStr">
        <is>
          <t xml:space="preserve">5UM1MH130991-05</t>
        </is>
      </c>
      <c r="C49" s="3" t="str">
        <f>HYPERLINK("https://reporter.nih.gov/project-details/11417222","A Multidisciplinary Center for Developing Human and Non-human Primate Brain Cell Atlases")</f>
        <v>A Multidisciplinary Center for Developing Human and Non-human Primate Brain Cell Atlases</v>
      </c>
      <c r="D49" t="inlineStr">
        <is>
          <t xml:space="preserve">ARNOLD KRIEGSTEIN</t>
        </is>
      </c>
      <c r="E49" t="inlineStr">
        <is>
          <t xml:space="preserve">UNIVERSITY OF CALIFORNIA, SAN FRANCISCO</t>
        </is>
      </c>
      <c r="F49" t="inlineStr">
        <is>
          <t xml:space="preserve">$4.7M</t>
        </is>
      </c>
    </row>
    <row r="50">
      <c r="A50" t="inlineStr">
        <is>
          <t xml:space="preserve">2026-08-21</t>
        </is>
      </c>
      <c r="B50" t="inlineStr">
        <is>
          <t xml:space="preserve">5U19NS132720-04</t>
        </is>
      </c>
      <c r="C50" s="3" t="str">
        <f>HYPERLINK("https://reporter.nih.gov/project-details/11385500","Mechanisms of neural circuit dynamics in working memory and decision-making")</f>
        <v>Mechanisms of neural circuit dynamics in working memory and decision-making</v>
      </c>
      <c r="D50" t="inlineStr">
        <is>
          <t xml:space="preserve">Carlos D Brody</t>
        </is>
      </c>
      <c r="E50" t="inlineStr">
        <is>
          <t xml:space="preserve">PRINCETON UNIVERSITY</t>
        </is>
      </c>
      <c r="F50" t="inlineStr">
        <is>
          <t xml:space="preserve">$4.2M</t>
        </is>
      </c>
    </row>
    <row r="51">
      <c r="A51" t="inlineStr">
        <is>
          <t xml:space="preserve">2026-08-04</t>
        </is>
      </c>
      <c r="B51" t="inlineStr">
        <is>
          <t xml:space="preserve">5U19NS107616-09</t>
        </is>
      </c>
      <c r="C51" s="3" t="str">
        <f>HYPERLINK("https://reporter.nih.gov/project-details/11416774","Oxytocin Modulation of Neural Circuit Function and Behavior")</f>
        <v>Oxytocin Modulation of Neural Circuit Function and Behavior</v>
      </c>
      <c r="D51" t="inlineStr">
        <is>
          <t xml:space="preserve">RICHARD W TSIEN</t>
        </is>
      </c>
      <c r="E51" t="inlineStr">
        <is>
          <t xml:space="preserve">NEW YORK UNIVERSITY SCHOOL OF MEDICINE</t>
        </is>
      </c>
      <c r="F51" t="inlineStr">
        <is>
          <t xml:space="preserve">$4.2M</t>
        </is>
      </c>
    </row>
    <row r="52"/>
    <row r="53">
      <c r="A53" s="2" t="inlineStr">
        <is>
          <t xml:space="preserve">CLINICAL TRIALS</t>
        </is>
      </c>
      <c r="B53" t="inlineStr">
        <is>
          <t xml:space="preserve">12 new starts, 63 updated — last 30 days (2026-09-28 to 2026-10-28)</t>
        </is>
      </c>
    </row>
    <row r="54">
      <c r="A54" s="1" t="inlineStr">
        <is>
          <t xml:space="preserve">Updated</t>
        </is>
      </c>
      <c r="B54" s="1" t="inlineStr">
        <is>
          <t xml:space="preserve">Change</t>
        </is>
      </c>
      <c r="C54" s="1" t="inlineStr">
        <is>
          <t xml:space="preserve">NCT number</t>
        </is>
      </c>
      <c r="D54" s="1" t="inlineStr">
        <is>
          <t xml:space="preserve">Title</t>
        </is>
      </c>
      <c r="E54" s="1" t="inlineStr">
        <is>
          <t xml:space="preserve">Status</t>
        </is>
      </c>
      <c r="F54" s="1" t="inlineStr">
        <is>
          <t xml:space="preserve">Sponsor</t>
        </is>
      </c>
    </row>
    <row r="55">
      <c r="A55" t="inlineStr">
        <is>
          <t xml:space="preserve">2026-10-21</t>
        </is>
      </c>
      <c r="B55" t="inlineStr">
        <is>
          <t xml:space="preserve">new study</t>
        </is>
      </c>
      <c r="C55" t="inlineStr">
        <is>
          <t xml:space="preserve">NCT07887243</t>
        </is>
      </c>
      <c r="D55" s="3" t="str">
        <f>HYPERLINK("https://clinicaltrials.gov/study/NCT07887243","Adapting the Sensory Environment to Reduce Stress in Children With Autism During Dental Visits")</f>
        <v>Adapting the Sensory Environment to Reduce Stress in Children With Autism During Dental Visits</v>
      </c>
      <c r="E55" t="inlineStr">
        <is>
          <t xml:space="preserve">active not recruiting</t>
        </is>
      </c>
      <c r="F55" t="inlineStr">
        <is>
          <t xml:space="preserve">Jagiellonian University</t>
        </is>
      </c>
    </row>
    <row r="56">
      <c r="A56" t="inlineStr">
        <is>
          <t xml:space="preserve">2026-10-20</t>
        </is>
      </c>
      <c r="B56" t="inlineStr">
        <is>
          <t xml:space="preserve">new study</t>
        </is>
      </c>
      <c r="C56" t="inlineStr">
        <is>
          <t xml:space="preserve">NCT07884032</t>
        </is>
      </c>
      <c r="D56" s="3" t="str">
        <f>HYPERLINK("https://clinicaltrials.gov/study/NCT07884032","Expression Intensity Modulates Social Intention Understanding in ASD Children")</f>
        <v>Expression Intensity Modulates Social Intention Understanding in ASD Children</v>
      </c>
      <c r="E56" t="inlineStr">
        <is>
          <t xml:space="preserve">not yet recruiting</t>
        </is>
      </c>
      <c r="F56" t="inlineStr">
        <is>
          <t xml:space="preserve">University of Electronic Science and Technology of China</t>
        </is>
      </c>
    </row>
    <row r="57">
      <c r="A57" t="inlineStr">
        <is>
          <t xml:space="preserve">2026-10-19</t>
        </is>
      </c>
      <c r="B57" t="inlineStr">
        <is>
          <t xml:space="preserve">new study</t>
        </is>
      </c>
      <c r="C57" t="inlineStr">
        <is>
          <t xml:space="preserve">NCT07880028</t>
        </is>
      </c>
      <c r="D57" s="3" t="str">
        <f>HYPERLINK("https://clinicaltrials.gov/study/NCT07880028","Adapted Group Therapy Compared With Usual Care for Anxiety and Depression in Adults With an Autism Diagnosis")</f>
        <v>Adapted Group Therapy Compared With Usual Care for Anxiety and Depression in Adults With an Autism Diagnosis</v>
      </c>
      <c r="E57" t="inlineStr">
        <is>
          <t xml:space="preserve">not yet recruiting</t>
        </is>
      </c>
      <c r="F57" t="inlineStr">
        <is>
          <t xml:space="preserve">Lovisenberg Diakonale Hospital</t>
        </is>
      </c>
    </row>
    <row r="58">
      <c r="A58" t="inlineStr">
        <is>
          <t xml:space="preserve">2026-10-16</t>
        </is>
      </c>
      <c r="B58" t="inlineStr">
        <is>
          <t xml:space="preserve">new study</t>
        </is>
      </c>
      <c r="C58" t="inlineStr">
        <is>
          <t xml:space="preserve">NCT07812233</t>
        </is>
      </c>
      <c r="D58" s="3" t="str">
        <f>HYPERLINK("https://clinicaltrials.gov/study/NCT07812233","Heart Rate Variability Biofeedback for Anxiety in Autistic Youth")</f>
        <v>Heart Rate Variability Biofeedback for Anxiety in Autistic Youth</v>
      </c>
      <c r="E58" t="inlineStr">
        <is>
          <t xml:space="preserve">recruiting</t>
        </is>
      </c>
      <c r="F58" t="inlineStr">
        <is>
          <t xml:space="preserve">Massachusetts General Hospital</t>
        </is>
      </c>
    </row>
    <row r="59">
      <c r="A59" t="inlineStr">
        <is>
          <t xml:space="preserve">2026-10-09</t>
        </is>
      </c>
      <c r="B59" t="inlineStr">
        <is>
          <t xml:space="preserve">new study</t>
        </is>
      </c>
      <c r="C59" t="inlineStr">
        <is>
          <t xml:space="preserve">NCT07439510</t>
        </is>
      </c>
      <c r="D59" s="3" t="str">
        <f>HYPERLINK("https://clinicaltrials.gov/study/NCT07439510","A Study to Investigate the Effects and Safety of Codabakalner for the Treatment of FXS in Male Participants and Adult Participants With ADS")</f>
        <v>A Study to Investigate the Effects and Safety of Codabakalner for the Treatment of FXS in Male Participants and Adult Participants With ADS</v>
      </c>
      <c r="E59" t="inlineStr">
        <is>
          <t xml:space="preserve">not yet recruiting</t>
        </is>
      </c>
      <c r="F59" t="inlineStr">
        <is>
          <t xml:space="preserve">Spinogenix</t>
        </is>
      </c>
    </row>
    <row r="60">
      <c r="A60" t="inlineStr">
        <is>
          <t xml:space="preserve">2026-10-06</t>
        </is>
      </c>
      <c r="B60" t="inlineStr">
        <is>
          <t xml:space="preserve">new study</t>
        </is>
      </c>
      <c r="C60" t="inlineStr">
        <is>
          <t xml:space="preserve">NCT07859696</t>
        </is>
      </c>
      <c r="D60" s="3" t="str">
        <f>HYPERLINK("https://clinicaltrials.gov/study/NCT07859696","Effectiveness of Interactive Techniques on Oral Hygiene Skills in a Group of Autistic Egyptian Children")</f>
        <v>Effectiveness of Interactive Techniques on Oral Hygiene Skills in a Group of Autistic Egyptian Children</v>
      </c>
      <c r="E60" t="inlineStr">
        <is>
          <t xml:space="preserve">not yet recruiting</t>
        </is>
      </c>
      <c r="F60" t="inlineStr">
        <is>
          <t xml:space="preserve">Faculty of Dental Medicine for Girls</t>
        </is>
      </c>
    </row>
    <row r="61">
      <c r="A61" t="inlineStr">
        <is>
          <t xml:space="preserve">2026-10-05</t>
        </is>
      </c>
      <c r="B61" t="inlineStr">
        <is>
          <t xml:space="preserve">new study</t>
        </is>
      </c>
      <c r="C61" t="inlineStr">
        <is>
          <t xml:space="preserve">NCT07859345</t>
        </is>
      </c>
      <c r="D61" s="3" t="str">
        <f>HYPERLINK("https://clinicaltrials.gov/study/NCT07859345","Effects of Virtual Reality-Based Interventions on Fine Motor and Activities of Daily Living Skills in Children Aged 5-10 Years With Autism Spectrum Disorder")</f>
        <v>Effects of Virtual Reality-Based Interventions on Fine Motor and Activities of Daily Living Skills in Children Aged 5-10 Years With Autism Spectrum Disorder</v>
      </c>
      <c r="E61" t="inlineStr">
        <is>
          <t xml:space="preserve">not yet recruiting</t>
        </is>
      </c>
      <c r="F61" t="inlineStr">
        <is>
          <t xml:space="preserve">Beyza Asli Bilsel</t>
        </is>
      </c>
    </row>
    <row r="62">
      <c r="A62" t="inlineStr">
        <is>
          <t xml:space="preserve">2026-10-05</t>
        </is>
      </c>
      <c r="B62" t="inlineStr">
        <is>
          <t xml:space="preserve">new study</t>
        </is>
      </c>
      <c r="C62" t="inlineStr">
        <is>
          <t xml:space="preserve">NCT07858617</t>
        </is>
      </c>
      <c r="D62" s="3" t="str">
        <f>HYPERLINK("https://clinicaltrials.gov/study/NCT07858617","Relation Between Autistic Features and Fine Motor Abilities in Children With Autism Spectrum Disorder")</f>
        <v>Relation Between Autistic Features and Fine Motor Abilities in Children With Autism Spectrum Disorder</v>
      </c>
      <c r="E62" t="inlineStr">
        <is>
          <t xml:space="preserve">not yet recruiting</t>
        </is>
      </c>
      <c r="F62" t="inlineStr">
        <is>
          <t xml:space="preserve">Cairo University</t>
        </is>
      </c>
    </row>
    <row r="63"/>
    <row r="64">
      <c r="A64" s="2" t="inlineStr">
        <is>
          <t xml:space="preserve">PATENTS</t>
        </is>
      </c>
      <c r="B64" t="inlineStr">
        <is>
          <t xml:space="preserve">8 published or granted — last 90 days (2026-07-30 to 2026-10-28)</t>
        </is>
      </c>
    </row>
    <row r="65">
      <c r="A65" s="1" t="inlineStr">
        <is>
          <t xml:space="preserve">Date</t>
        </is>
      </c>
      <c r="B65" s="1" t="inlineStr">
        <is>
          <t xml:space="preserve">Status</t>
        </is>
      </c>
      <c r="C65" s="1" t="inlineStr">
        <is>
          <t xml:space="preserve">Title</t>
        </is>
      </c>
      <c r="D65" s="1" t="inlineStr">
        <is>
          <t xml:space="preserve">Inventors</t>
        </is>
      </c>
      <c r="E65" s="1" t="inlineStr">
        <is>
          <t xml:space="preserve">Assignees</t>
        </is>
      </c>
      <c r="F65" s="1" t="inlineStr">
        <is>
          <t xml:space="preserve">State</t>
        </is>
      </c>
    </row>
    <row r="66">
      <c r="A66" t="inlineStr">
        <is>
          <t xml:space="preserve">2026-10-22</t>
        </is>
      </c>
      <c r="B66" t="inlineStr">
        <is>
          <t xml:space="preserve">Published application</t>
        </is>
      </c>
      <c r="C66" s="3" t="str">
        <f>HYPERLINK("https://patents.google.com/patent/US20260325488A1","METHODS AND COMPOSITIONS FOR TREATING AUTISM USING S-ETHOSUXIMIDE")</f>
        <v>METHODS AND COMPOSITIONS FOR TREATING AUTISM USING S-ETHOSUXIMIDE</v>
      </c>
      <c r="D66" t="inlineStr">
        <is>
          <t xml:space="preserve">Charles E. Niesen</t>
        </is>
      </c>
      <c r="E66" t="inlineStr">
        <is>
          <t xml:space="preserve"/>
        </is>
      </c>
      <c r="F66" t="inlineStr">
        <is>
          <t xml:space="preserve">CA</t>
        </is>
      </c>
    </row>
    <row r="67">
      <c r="A67" t="inlineStr">
        <is>
          <t xml:space="preserve">2026-10-13</t>
        </is>
      </c>
      <c r="B67" t="inlineStr">
        <is>
          <t xml:space="preserve">Granted</t>
        </is>
      </c>
      <c r="C67" s="3" t="str">
        <f>HYPERLINK("https://patents.google.com/patent/US12758529","USE OF EDARAVONE IN TREATMENT OF AUTISM SPECTRUM DISORDER")</f>
        <v>USE OF EDARAVONE IN TREATMENT OF AUTISM SPECTRUM DISORDER</v>
      </c>
      <c r="D67" t="inlineStr">
        <is>
          <t xml:space="preserve">Yi ZHOU; Xin YE</t>
        </is>
      </c>
      <c r="E67" t="inlineStr">
        <is>
          <t xml:space="preserve">SUZHOU AUZONE BIOLOGICAL TECHNOLOGY CO., LTD; SHANGHAI AUZONE BIOLOGICAL TECHNOLOGY CO., LTD.</t>
        </is>
      </c>
      <c r="F67" t="inlineStr">
        <is>
          <t xml:space="preserve">MN</t>
        </is>
      </c>
    </row>
    <row r="68">
      <c r="A68" t="inlineStr">
        <is>
          <t xml:space="preserve">2026-09-22</t>
        </is>
      </c>
      <c r="B68" t="inlineStr">
        <is>
          <t xml:space="preserve">Granted</t>
        </is>
      </c>
      <c r="C68" s="3" t="str">
        <f>HYPERLINK("https://patents.google.com/patent/US12740725","METHOD AND APPARATUS FOR DETECTING STEREOTYPED BEHAVIOR TO SUPPORT DIAGNOSIS OF AUTISM SPECTRUM DISORDER")</f>
        <v>METHOD AND APPARATUS FOR DETECTING STEREOTYPED BEHAVIOR TO SUPPORT DIAGNOSIS OF AUTISM SPECTRUM DISORDER</v>
      </c>
      <c r="D68" t="inlineStr">
        <is>
          <t xml:space="preserve">Cheol-Hwan YOO; Moon-Ki BACK; Jang-Hee YOO; Byung-Ok HAN</t>
        </is>
      </c>
      <c r="E68" t="inlineStr">
        <is>
          <t xml:space="preserve">ELECTRONICS AND TELECOMMUNICATIONS RESEARCH INSTITUTE</t>
        </is>
      </c>
      <c r="F68" t="inlineStr">
        <is>
          <t xml:space="preserve">VA</t>
        </is>
      </c>
    </row>
    <row r="69">
      <c r="A69" t="inlineStr">
        <is>
          <t xml:space="preserve">2026-09-10</t>
        </is>
      </c>
      <c r="B69" t="inlineStr">
        <is>
          <t xml:space="preserve">Published application</t>
        </is>
      </c>
      <c r="C69" s="3" t="str">
        <f>HYPERLINK("https://patents.google.com/patent/US20260269050A1","METHODS AND APPARATUS FOR PREDICTING AND PREVENTING AUTISTIC BEHAVIORS WITH LEARNING AND AI ALGORITHMS")</f>
        <v>METHODS AND APPARATUS FOR PREDICTING AND PREVENTING AUTISTIC BEHAVIORS WITH LEARNING AND AI ALGORITHMS</v>
      </c>
      <c r="D69" t="inlineStr">
        <is>
          <t xml:space="preserve">Isabelle Mordecai Troxler; Robert Ernest Troxler</t>
        </is>
      </c>
      <c r="E69" t="inlineStr">
        <is>
          <t xml:space="preserve"/>
        </is>
      </c>
      <c r="F69" t="inlineStr">
        <is>
          <t xml:space="preserve">NC</t>
        </is>
      </c>
    </row>
    <row r="70">
      <c r="A70" t="inlineStr">
        <is>
          <t xml:space="preserve">2026-09-03</t>
        </is>
      </c>
      <c r="B70" t="inlineStr">
        <is>
          <t xml:space="preserve">Published application</t>
        </is>
      </c>
      <c r="C70" s="3" t="str">
        <f>HYPERLINK("https://patents.google.com/patent/US20260256834A1","Materials and Methods for Reducing the Occurrence and/or Severity of Autism Spectrum Disorder")</f>
        <v>Materials and Methods for Reducing the Occurrence and/or Severity of Autism Spectrum Disorder</v>
      </c>
      <c r="D70" t="inlineStr">
        <is>
          <t xml:space="preserve">KEN ALIBEK; ANDREW R. LEFKOWITZ</t>
        </is>
      </c>
      <c r="E70" t="inlineStr">
        <is>
          <t xml:space="preserve">FLAASK, LLC</t>
        </is>
      </c>
      <c r="F70" t="inlineStr">
        <is>
          <t xml:space="preserve">VA</t>
        </is>
      </c>
    </row>
    <row r="71"/>
    <row r="72">
      <c r="A72" s="2" t="inlineStr">
        <is>
          <t xml:space="preserve">PRESS &amp; MEDIA</t>
        </is>
      </c>
      <c r="B72" t="inlineStr">
        <is>
          <t xml:space="preserve">13 releases — last 7 days (2026-10-21 to 2026-10-28)</t>
        </is>
      </c>
    </row>
    <row r="73">
      <c r="A73" s="1" t="inlineStr">
        <is>
          <t xml:space="preserve">Date</t>
        </is>
      </c>
      <c r="B73" s="1" t="inlineStr">
        <is>
          <t xml:space="preserve">Source</t>
        </is>
      </c>
      <c r="C73" s="1" t="inlineStr">
        <is>
          <t xml:space="preserve">Headline</t>
        </is>
      </c>
      <c r="D73" s="1" t="inlineStr">
        <is>
          <t xml:space="preserve">Modalities</t>
        </is>
      </c>
    </row>
    <row r="74">
      <c r="A74" t="inlineStr">
        <is>
          <t xml:space="preserve">2026-10-27</t>
        </is>
      </c>
      <c r="B74" t="inlineStr">
        <is>
          <t xml:space="preserve">ScienceDaily</t>
        </is>
      </c>
      <c r="C74" s="3" t="str">
        <f>HYPERLINK("https://www.sciencedaily.com/releases/2026/10/261027063824.htm","The autistic brain processes faces differently than scientists thought")</f>
        <v>The autistic brain processes faces differently than scientists thought</v>
      </c>
      <c r="D74" t="inlineStr">
        <is>
          <t xml:space="preserve"/>
        </is>
      </c>
    </row>
    <row r="75">
      <c r="A75" t="inlineStr">
        <is>
          <t xml:space="preserve">2026-10-27</t>
        </is>
      </c>
      <c r="B75" t="inlineStr">
        <is>
          <t xml:space="preserve">News-Medical</t>
        </is>
      </c>
      <c r="C75" s="3" t="str">
        <f>HYPERLINK("https://www.news-medical.net/news/20261027/Autistic-people-report-worse-menopause-symptoms-and-lower-quality-of-life.aspx","Autistic people report worse menopause symptoms and lower quality of life")</f>
        <v>Autistic people report worse menopause symptoms and lower quality of life</v>
      </c>
      <c r="D75" t="inlineStr">
        <is>
          <t xml:space="preserve"/>
        </is>
      </c>
    </row>
    <row r="76">
      <c r="A76" t="inlineStr">
        <is>
          <t xml:space="preserve">2026-10-27</t>
        </is>
      </c>
      <c r="B76" t="inlineStr">
        <is>
          <t xml:space="preserve">News-Medical</t>
        </is>
      </c>
      <c r="C76" s="3" t="str">
        <f>HYPERLINK("https://www.news-medical.net/news/20261027/Rutgers-study-links-prenatal-wildfire-smoke-exposure-to-autism-risk.aspx","Rutgers study links prenatal wildfire smoke exposure to autism risk")</f>
        <v>Rutgers study links prenatal wildfire smoke exposure to autism risk</v>
      </c>
      <c r="D76" t="inlineStr">
        <is>
          <t xml:space="preserve"/>
        </is>
      </c>
    </row>
    <row r="77">
      <c r="A77" t="inlineStr">
        <is>
          <t xml:space="preserve">2026-10-27</t>
        </is>
      </c>
      <c r="B77" t="inlineStr">
        <is>
          <t xml:space="preserve">News-Medical</t>
        </is>
      </c>
      <c r="C77" s="3" t="str">
        <f>HYPERLINK("https://www.news-medical.net/news/20261027/Early-exercise-improves-motor-function-in-a-mouse-model-of-DDX3X-syndrome.aspx","Early exercise improves motor function in a mouse model of DDX3X syndrome")</f>
        <v>Early exercise improves motor function in a mouse model of DDX3X syndrome</v>
      </c>
      <c r="D77" t="inlineStr">
        <is>
          <t xml:space="preserve"/>
        </is>
      </c>
    </row>
    <row r="78">
      <c r="A78" t="inlineStr">
        <is>
          <t xml:space="preserve">2026-10-27</t>
        </is>
      </c>
      <c r="B78" t="inlineStr">
        <is>
          <t xml:space="preserve">News-Medical</t>
        </is>
      </c>
      <c r="C78" s="3" t="str">
        <f>HYPERLINK("https://www.news-medical.net/news/20261027/Autistic-people-show-weaker-brain-responses-to-negative-feedback.aspx","Autistic people show weaker brain responses to negative feedback")</f>
        <v>Autistic people show weaker brain responses to negative feedback</v>
      </c>
      <c r="D78" t="inlineStr">
        <is>
          <t xml:space="preserve"/>
        </is>
      </c>
    </row>
    <row r="79">
      <c r="A79" t="inlineStr">
        <is>
          <t xml:space="preserve">2026-10-27</t>
        </is>
      </c>
      <c r="B79" t="inlineStr">
        <is>
          <t xml:space="preserve">The Transmitter</t>
        </is>
      </c>
      <c r="C79" s="3" t="str">
        <f>HYPERLINK("https://www.thetransmitter.org/spectrum/behavioral-phenomics-in-zebrafish-and-more/","Behavioral phenomics in zebrafish; and more")</f>
        <v>Behavioral phenomics in zebrafish; and more</v>
      </c>
      <c r="D79" t="inlineStr">
        <is>
          <t xml:space="preserve"/>
        </is>
      </c>
    </row>
    <row r="80">
      <c r="A80" t="inlineStr">
        <is>
          <t xml:space="preserve">2026-10-23</t>
        </is>
      </c>
      <c r="B80" t="inlineStr">
        <is>
          <t xml:space="preserve">ScienceDaily</t>
        </is>
      </c>
      <c r="C80" s="3" t="str">
        <f>HYPERLINK("https://www.sciencedaily.com/releases/2026/10/261022081304.htm","Scientists discover a hidden messaging system deep inside the brain")</f>
        <v>Scientists discover a hidden messaging system deep inside the brain</v>
      </c>
      <c r="D80" t="inlineStr">
        <is>
          <t xml:space="preserve"/>
        </is>
      </c>
    </row>
    <row r="81">
      <c r="A81" t="inlineStr">
        <is>
          <t xml:space="preserve">2026-10-22</t>
        </is>
      </c>
      <c r="B81" t="inlineStr">
        <is>
          <t xml:space="preserve">ScienceDaily</t>
        </is>
      </c>
      <c r="C81" s="3" t="str">
        <f>HYPERLINK("https://www.sciencedaily.com/releases/2026/10/261021231235.htm","Scientists discover a surprising secret behind the human brain’s wrinkles")</f>
        <v>Scientists discover a surprising secret behind the human brain’s wrinkles</v>
      </c>
      <c r="D81" t="inlineStr">
        <is>
          <t xml:space="preserve"/>
        </is>
      </c>
    </row>
    <row r="82">
      <c r="A82" t="inlineStr">
        <is>
          <t xml:space="preserve">2026-10-22</t>
        </is>
      </c>
      <c r="B82" t="inlineStr">
        <is>
          <t xml:space="preserve">News-Medical</t>
        </is>
      </c>
      <c r="C82" s="3" t="str">
        <f>HYPERLINK("https://www.news-medical.net/news/20261022/Depression-profile-linked-to-disrupted-sleep-and-poorer-treatment-responses.aspx","Depression profile linked to disrupted sleep and poorer treatment responses")</f>
        <v>Depression profile linked to disrupted sleep and poorer treatment responses</v>
      </c>
      <c r="D82" t="inlineStr">
        <is>
          <t xml:space="preserve"/>
        </is>
      </c>
    </row>
    <row r="83">
      <c r="A83" t="inlineStr">
        <is>
          <t xml:space="preserve">2026-10-22</t>
        </is>
      </c>
      <c r="B83" t="inlineStr">
        <is>
          <t xml:space="preserve">The Transmitter</t>
        </is>
      </c>
      <c r="C83" s="3" t="str">
        <f>HYPERLINK("https://www.thetransmitter.org/spectrum/prevalence-of-profound-autism-declines-with-new-definition/","Prevalence of profound autism declines with new definition")</f>
        <v>Prevalence of profound autism declines with new definition</v>
      </c>
      <c r="D83" t="inlineStr">
        <is>
          <t xml:space="preserve"/>
        </is>
      </c>
    </row>
    <row r="84"/>
    <row r="85">
      <c r="A85" s="2" t="inlineStr">
        <is>
          <t xml:space="preserve">TRACKED AUTHORS</t>
        </is>
      </c>
      <c r="B85" t="inlineStr">
        <is>
          <t xml:space="preserve">no new papers in the last 7 days (the Author papers sheet lists the 25 most recent)</t>
        </is>
      </c>
    </row>
    <row r="86">
      <c r="A86" t="inlineStr">
        <is>
          <t xml:space="preserve">None of the 6 tracked authors published in this window.</t>
        </is>
      </c>
    </row>
    <row r="87"/>
    <row r="88">
      <c r="A88" s="2" t="inlineStr">
        <is>
          <t xml:space="preserve">CONTENTS</t>
        </is>
      </c>
      <c r="B88" s="1" t="inlineStr">
        <is>
          <t xml:space="preserve">Rows</t>
        </is>
      </c>
      <c r="C88" s="1" t="inlineStr">
        <is>
          <t xml:space="preserve">Window used</t>
        </is>
      </c>
      <c r="D88" s="1" t="inlineStr">
        <is>
          <t xml:space="preserve">Counts when</t>
        </is>
      </c>
      <c r="E88" s="1" t="inlineStr">
        <is>
          <t xml:space="preserve">Store refreshed</t>
        </is>
      </c>
    </row>
    <row r="89">
      <c r="A89" t="inlineStr">
        <is>
          <t xml:space="preserve">Publications</t>
        </is>
      </c>
      <c r="B89" t="inlineStr">
        <is>
          <t xml:space="preserve">40</t>
        </is>
      </c>
      <c r="C89" t="inlineStr">
        <is>
          <t xml:space="preserve">last 7 days (2026-10-21 to 2026-10-28)</t>
        </is>
      </c>
      <c r="D89" t="inlineStr">
        <is>
          <t xml:space="preserve">publication date or the run that added it</t>
        </is>
      </c>
      <c r="E89" t="inlineStr">
        <is>
          <t xml:space="preserve">2026-10-24</t>
        </is>
      </c>
    </row>
    <row r="90">
      <c r="A90" t="inlineStr">
        <is>
          <t xml:space="preserve">NIH grants</t>
        </is>
      </c>
      <c r="B90" t="inlineStr">
        <is>
          <t xml:space="preserve">434</t>
        </is>
      </c>
      <c r="C90" t="inlineStr">
        <is>
          <t xml:space="preserve">last 90 days (2026-07-30 to 2026-10-28)</t>
        </is>
      </c>
      <c r="D90" t="inlineStr">
        <is>
          <t xml:space="preserve">notice of award date</t>
        </is>
      </c>
      <c r="E90" t="inlineStr">
        <is>
          <t xml:space="preserve">2026-10-25T21:15:41</t>
        </is>
      </c>
    </row>
    <row r="91">
      <c r="A91" t="inlineStr">
        <is>
          <t xml:space="preserve">Clinical trials</t>
        </is>
      </c>
      <c r="B91" t="inlineStr">
        <is>
          <t xml:space="preserve">75</t>
        </is>
      </c>
      <c r="C91" t="inlineStr">
        <is>
          <t xml:space="preserve">last 30 days (2026-09-28 to 2026-10-28)</t>
        </is>
      </c>
      <c r="D91" t="inlineStr">
        <is>
          <t xml:space="preserve">ClinicalTrials.gov last-update date</t>
        </is>
      </c>
      <c r="E91" t="inlineStr">
        <is>
          <t xml:space="preserve">2026-10-25T21:15:49</t>
        </is>
      </c>
    </row>
    <row r="92">
      <c r="A92" t="inlineStr">
        <is>
          <t xml:space="preserve">Patents</t>
        </is>
      </c>
      <c r="B92" t="inlineStr">
        <is>
          <t xml:space="preserve">8</t>
        </is>
      </c>
      <c r="C92" t="inlineStr">
        <is>
          <t xml:space="preserve">last 90 days (2026-07-30 to 2026-10-28)</t>
        </is>
      </c>
      <c r="D92" t="inlineStr">
        <is>
          <t xml:space="preserve">publication or grant date</t>
        </is>
      </c>
      <c r="E92" t="inlineStr">
        <is>
          <t xml:space="preserve">2026-10-25T21:16:13</t>
        </is>
      </c>
    </row>
    <row r="93">
      <c r="A93" t="inlineStr">
        <is>
          <t xml:space="preserve">Press &amp; media</t>
        </is>
      </c>
      <c r="B93" t="inlineStr">
        <is>
          <t xml:space="preserve">13</t>
        </is>
      </c>
      <c r="C93" t="inlineStr">
        <is>
          <t xml:space="preserve">last 7 days (2026-10-21 to 2026-10-28)</t>
        </is>
      </c>
      <c r="D93" t="inlineStr">
        <is>
          <t xml:space="preserve">release date</t>
        </is>
      </c>
      <c r="E93" t="inlineStr">
        <is>
          <t xml:space="preserve">2026-10-28T02:20:55</t>
        </is>
      </c>
    </row>
    <row r="94">
      <c r="A94" t="inlineStr">
        <is>
          <t xml:space="preserve">Author papers</t>
        </is>
      </c>
      <c r="B94" t="inlineStr">
        <is>
          <t xml:space="preserve">25</t>
        </is>
      </c>
      <c r="C94" t="inlineStr">
        <is>
          <t xml:space="preserve">nothing in the last 7 days — the 25 most recent instead</t>
        </is>
      </c>
      <c r="D94" t="inlineStr">
        <is>
          <t xml:space="preserve">first seen by the tracker, or publication date</t>
        </is>
      </c>
      <c r="E94" t="inlineStr">
        <is>
          <t xml:space="preserve">2026-10-24</t>
        </is>
      </c>
    </row>
    <row r="95">
      <c r="A95" t="inlineStr">
        <is>
          <t xml:space="preserve">Tracked authors</t>
        </is>
      </c>
      <c r="B95" t="inlineStr">
        <is>
          <t xml:space="preserve">6</t>
        </is>
      </c>
      <c r="C95" t="inlineStr">
        <is>
          <t xml:space="preserve">roster (always complete)</t>
        </is>
      </c>
      <c r="D95" t="inlineStr">
        <is>
          <t xml:space="preserve">roster (always complete)</t>
        </is>
      </c>
      <c r="E95" t="inlineStr">
        <is>
          <t xml:space="preserve">2026-10-24</t>
        </is>
      </c>
    </row>
    <row r="96"/>
    <row r="97">
      <c r="A97" t="inlineStr">
        <is>
          <t xml:space="preserve">Source</t>
        </is>
      </c>
      <c r="B97" t="inlineStr">
        <is>
          <t xml:space="preserve">Autism Research Network Atlas</t>
        </is>
      </c>
    </row>
  </sheetData>
</worksheet>
</file>

<file path=xl/worksheets/sheet2.xml><?xml version="1.0" encoding="utf-8"?>
<worksheet xmlns="http://schemas.openxmlformats.org/spreadsheetml/2006/main">
  <dimension ref="A1:V42"/>
  <sheetViews>
    <sheetView workbookViewId="0">
      <pane ySplit="2" topLeftCell="A3" activePane="bottomLeft" state="frozen"/>
    </sheetView>
  </sheetViews>
  <cols>
    <col min="1" max="1" width="12"/>
    <col min="2" max="2" width="16"/>
    <col min="3" max="3" width="18"/>
    <col min="4" max="4" width="18"/>
    <col min="5" max="5" width="63"/>
    <col min="6" max="6" width="70"/>
    <col min="7" max="7" width="15"/>
    <col min="8" max="8" width="25"/>
    <col min="9" max="9" width="17"/>
    <col min="10" max="10" width="28"/>
    <col min="11" max="11" width="25"/>
    <col min="12" max="12" width="22"/>
    <col min="13" max="13" width="12"/>
    <col min="14" max="14" width="70"/>
    <col min="15" max="15" width="11"/>
    <col min="16" max="16" width="10"/>
    <col min="17" max="17" width="10"/>
    <col min="18" max="18" width="32"/>
    <col min="19" max="19" width="13"/>
    <col min="20" max="20" width="70"/>
    <col min="21" max="21" width="43"/>
    <col min="22" max="22" width="70"/>
  </cols>
  <sheetData>
    <row r="1">
      <c r="A1" s="2" t="inlineStr">
        <is>
          <t xml:space="preserve">Publications — last 7 days (2026-10-21 to 2026-10-28) · counts when: publication date or the run that added it</t>
        </is>
      </c>
    </row>
    <row r="2">
      <c r="A2" s="1" t="inlineStr">
        <is>
          <t xml:space="preserve">Published</t>
        </is>
      </c>
      <c r="B2" s="1" t="inlineStr">
        <is>
          <t xml:space="preserve">Added to atlas</t>
        </is>
      </c>
      <c r="C2" s="1" t="inlineStr">
        <is>
          <t xml:space="preserve">First author</t>
        </is>
      </c>
      <c r="D2" s="1" t="inlineStr">
        <is>
          <t xml:space="preserve">Last author</t>
        </is>
      </c>
      <c r="E2" s="1" t="inlineStr">
        <is>
          <t xml:space="preserve">Authors</t>
        </is>
      </c>
      <c r="F2" s="1" t="inlineStr">
        <is>
          <t xml:space="preserve">Journal</t>
        </is>
      </c>
      <c r="G2" s="1" t="inlineStr">
        <is>
          <t xml:space="preserve">Impact factor</t>
        </is>
      </c>
      <c r="H2" s="1" t="inlineStr">
        <is>
          <t xml:space="preserve">IF source</t>
        </is>
      </c>
      <c r="I2" s="1" t="inlineStr">
        <is>
          <t xml:space="preserve">Journal h-index</t>
        </is>
      </c>
      <c r="J2" s="1" t="inlineStr">
        <is>
          <t xml:space="preserve">Branch</t>
        </is>
      </c>
      <c r="K2" s="1" t="inlineStr">
        <is>
          <t xml:space="preserve">Also in</t>
        </is>
      </c>
      <c r="L2" s="1" t="inlineStr">
        <is>
          <t xml:space="preserve">Priority</t>
        </is>
      </c>
      <c r="M2" s="1" t="inlineStr">
        <is>
          <t xml:space="preserve">Modalities</t>
        </is>
      </c>
      <c r="N2" s="1" t="inlineStr">
        <is>
          <t xml:space="preserve">Tags</t>
        </is>
      </c>
      <c r="O2" s="1" t="inlineStr">
        <is>
          <t xml:space="preserve">Citations</t>
        </is>
      </c>
      <c r="P2" s="1" t="inlineStr">
        <is>
          <t xml:space="preserve">Preprint</t>
        </is>
      </c>
      <c r="Q2" s="1" t="inlineStr">
        <is>
          <t xml:space="preserve">PMID</t>
        </is>
      </c>
      <c r="R2" s="1" t="inlineStr">
        <is>
          <t xml:space="preserve">DOI</t>
        </is>
      </c>
      <c r="S2" s="1" t="inlineStr">
        <is>
          <t xml:space="preserve">Open access</t>
        </is>
      </c>
      <c r="T2" s="1" t="inlineStr">
        <is>
          <t xml:space="preserve">Title</t>
        </is>
      </c>
      <c r="U2" s="1" t="inlineStr">
        <is>
          <t xml:space="preserve">URL</t>
        </is>
      </c>
      <c r="V2" s="1" t="inlineStr">
        <is>
          <t xml:space="preserve">Abstract</t>
        </is>
      </c>
    </row>
    <row r="3">
      <c r="A3" t="inlineStr">
        <is>
          <t xml:space="preserve">2026-10-17</t>
        </is>
      </c>
      <c r="B3" t="inlineStr">
        <is>
          <t xml:space="preserve">2026-10-24</t>
        </is>
      </c>
      <c r="C3" t="inlineStr">
        <is>
          <t xml:space="preserve">Li H</t>
        </is>
      </c>
      <c r="D3" t="inlineStr">
        <is>
          <t xml:space="preserve">Xu B</t>
        </is>
      </c>
      <c r="E3" t="inlineStr">
        <is>
          <t xml:space="preserve">Li H, Choi JJ, Huang EJ, et al.</t>
        </is>
      </c>
      <c r="F3" t="inlineStr">
        <is>
          <t xml:space="preserve">Molecular Psychiatry</t>
        </is>
      </c>
      <c r="G3" t="inlineStr">
        <is>
          <t xml:space="preserve">11.0</t>
        </is>
      </c>
      <c r="H3" t="inlineStr">
        <is>
          <t xml:space="preserve">JCR impact factor</t>
        </is>
      </c>
      <c r="I3" t="inlineStr">
        <is>
          <t xml:space="preserve">320</t>
        </is>
      </c>
      <c r="J3" t="inlineStr">
        <is>
          <t xml:space="preserve">Genetics &amp; Molecular</t>
        </is>
      </c>
      <c r="K3" t="inlineStr">
        <is>
          <t xml:space="preserve">Intervention &amp; Clinical</t>
        </is>
      </c>
      <c r="L3" t="inlineStr">
        <is>
          <t xml:space="preserve">Mechanistic / basic</t>
        </is>
      </c>
      <c r="M3" t="inlineStr">
        <is>
          <t xml:space="preserve"/>
        </is>
      </c>
      <c r="N3" t="inlineStr">
        <is>
          <t xml:space="preserve">Syndromic &amp; single-gene, Microglia &amp; glia</t>
        </is>
      </c>
      <c r="O3" t="inlineStr">
        <is>
          <t xml:space="preserve">1</t>
        </is>
      </c>
      <c r="P3" t="inlineStr">
        <is>
          <t xml:space="preserve"/>
        </is>
      </c>
      <c r="Q3" t="inlineStr">
        <is>
          <t xml:space="preserve">42892634</t>
        </is>
      </c>
      <c r="R3" s="3" t="str">
        <f>HYPERLINK("https://doi.org/10.1038/s41380-026-03927-3","10.1038/s41380-026-03927-3")</f>
        <v>10.1038/s41380-026-03927-3</v>
      </c>
      <c r="S3" t="inlineStr">
        <is>
          <t xml:space="preserve"/>
        </is>
      </c>
      <c r="T3" t="inlineStr">
        <is>
          <t xml:space="preserve">A microglial basis for fragile X syndrome via impairment of FMRP-regulated lysosomal function.</t>
        </is>
      </c>
      <c r="U3" s="3" t="str">
        <f>HYPERLINK("https://pubmed.ncbi.nlm.nih.gov/42892634/","https://pubmed.ncbi.nlm.nih.gov/42892634/")</f>
        <v>https://pubmed.ncbi.nlm.nih.gov/42892634/</v>
      </c>
      <c r="V3" t="inlineStr">
        <is>
          <t xml:space="preserve">Silencing of the FMRP-encoding FMR1 gene results in fragile X syndrome (FXS), the most common inheritable intellectual disability and autism. FMRP regulates various neuronal functions but clinical trials targeting neurons have failed, suggesting unrecognized disease mechanisms. We find that mice with selective Fmr1 deletion in microglia exhibit audiogenic seizures (AGS) and parvalbumin (PV) neuron loss, recapitulating two key phenotypes observed in FXS (Fmr1-/y) mice. By combining snRNA-Seq and RNA immunoprecipitation, we identify several lysosomal mRNAs as FMRP binding targets. FMRP promotes lysosomal protein expression and its deficiency disrupts lysosomal function in microglia. Notably, FMRP depletion reduces Grn-encoded secretory progranulin and increases PV neuron apoptosis in immature brains. PV neuron density is decreased similarly in Grn+/-, Fmr1-/y, and Grn+/-;Fmr1-/y mice, and progranulin overexpression rescues AGS and PV neuron loss in Fmr1-/y mice. Thus, our study identifies microglia and progranulin as critical regulators of FXS pathogenesis and potential targets for FXS therapy.</t>
        </is>
      </c>
    </row>
    <row r="4">
      <c r="A4" t="inlineStr">
        <is>
          <t xml:space="preserve">2026-10-23</t>
        </is>
      </c>
      <c r="B4" t="inlineStr">
        <is>
          <t xml:space="preserve">2026-10-24</t>
        </is>
      </c>
      <c r="C4" t="inlineStr">
        <is>
          <t xml:space="preserve">Lack O</t>
        </is>
      </c>
      <c r="D4" t="inlineStr">
        <is>
          <t xml:space="preserve">Simonoff E</t>
        </is>
      </c>
      <c r="E4" t="inlineStr">
        <is>
          <t xml:space="preserve">Lack O, Hollocks MJ, Baird G, et al.</t>
        </is>
      </c>
      <c r="F4" t="inlineStr">
        <is>
          <t xml:space="preserve">Autism Research</t>
        </is>
      </c>
      <c r="G4" t="inlineStr">
        <is>
          <t xml:space="preserve">5.2</t>
        </is>
      </c>
      <c r="H4" t="inlineStr">
        <is>
          <t xml:space="preserve">JCR impact factor</t>
        </is>
      </c>
      <c r="I4" t="inlineStr">
        <is>
          <t xml:space="preserve">133</t>
        </is>
      </c>
      <c r="J4" t="inlineStr">
        <is>
          <t xml:space="preserve">Behavioral &amp; Developmental</t>
        </is>
      </c>
      <c r="K4" t="inlineStr">
        <is>
          <t xml:space="preserve"/>
        </is>
      </c>
      <c r="L4" t="inlineStr">
        <is>
          <t xml:space="preserve">Clinical observation</t>
        </is>
      </c>
      <c r="M4" t="inlineStr">
        <is>
          <t xml:space="preserve"/>
        </is>
      </c>
      <c r="N4" t="inlineStr">
        <is>
          <t xml:space="preserve"/>
        </is>
      </c>
      <c r="O4" t="inlineStr">
        <is>
          <t xml:space="preserve">0</t>
        </is>
      </c>
      <c r="P4" t="inlineStr">
        <is>
          <t xml:space="preserve"/>
        </is>
      </c>
      <c r="Q4" t="inlineStr">
        <is>
          <t xml:space="preserve">42919820</t>
        </is>
      </c>
      <c r="R4" s="3" t="str">
        <f>HYPERLINK("https://doi.org/10.1002/aur.70384","10.1002/aur.70384")</f>
        <v>10.1002/aur.70384</v>
      </c>
      <c r="S4" s="3" t="str">
        <f>HYPERLINK("https://onlinelibrary.wiley.com/doi/pdfdirect/10.1002/aur.70384","open access")</f>
        <v>open access</v>
      </c>
      <c r="T4" t="inlineStr">
        <is>
          <t xml:space="preserve">Psychological and Neurodevelopmental Correlates of Extreme Demand Avoidance in a Clinical Sample, an Exploratory Study.</t>
        </is>
      </c>
      <c r="U4" s="3" t="str">
        <f>HYPERLINK("https://pubmed.ncbi.nlm.nih.gov/42919820/","https://pubmed.ncbi.nlm.nih.gov/42919820/")</f>
        <v>https://pubmed.ncbi.nlm.nih.gov/42919820/</v>
      </c>
      <c r="V4" t="inlineStr">
        <is>
          <t xml:space="preserve">Extreme/pathological demand avoidance (EDA) is a behavioral profile characterized by the avoidance of everyday demands, with significant impact on the individuals and those around them. Little is understood regarding the correlates and drivers of EDA; understanding these better may lead to targeted interventions and support strategies. Cross-sectional data from parent-rated measures were analyzed for 63 children referred to a specialist neurodevelopmental clinic in the United Kingdom. The relationship between EDA traits and a number of psychological (intolerance of uncertainty, anxiety, emotional dysregulation [reactivity and dysphoria], cognitive inflexibility, alexithymia [i.e., difficulty identifying emotions]), and neurodevelopmental (autistic and ADHD) traits was tested. No differences in EDA traits were found by diagnostic group (autistic vs. not-autistic) or gender (male and female). Across the whole sample, EDA traits were negatively correlated with age and positively correlated with emotional dysregulation reactivity, ADHD traits, cognitive inflexibility, intolerance of uncertainty and alexithymia. EDA was not associated with autistic traits or anxiety. Path models were used to identify which cognitive and behavioral features predicted EDA scores, once inter-correlations among predictors were controlled for. Only emotional dysregulation, ADHD traits and age predicted EDA-Q scores. Further research is needed to assess how these variables contribute to EDA in larger more diverse samples, capturing potentially unmeasured variables, and exploring possible mediation pathways.</t>
        </is>
      </c>
    </row>
    <row r="5">
      <c r="A5" t="inlineStr">
        <is>
          <t xml:space="preserve">2026-10-22</t>
        </is>
      </c>
      <c r="B5" t="inlineStr">
        <is>
          <t xml:space="preserve">2026-10-24</t>
        </is>
      </c>
      <c r="C5" t="inlineStr">
        <is>
          <t xml:space="preserve">Cola M</t>
        </is>
      </c>
      <c r="D5" t="inlineStr">
        <is>
          <t xml:space="preserve">Parish-Morris J</t>
        </is>
      </c>
      <c r="E5" t="inlineStr">
        <is>
          <t xml:space="preserve">Cola M, Lyons M, Schillinger S, et al.</t>
        </is>
      </c>
      <c r="F5" t="inlineStr">
        <is>
          <t xml:space="preserve">Journal of Autism and Developmental Disorders</t>
        </is>
      </c>
      <c r="G5" t="inlineStr">
        <is>
          <t xml:space="preserve">3.2</t>
        </is>
      </c>
      <c r="H5" t="inlineStr">
        <is>
          <t xml:space="preserve">JCR impact factor</t>
        </is>
      </c>
      <c r="I5" t="inlineStr">
        <is>
          <t xml:space="preserve">301</t>
        </is>
      </c>
      <c r="J5" t="inlineStr">
        <is>
          <t xml:space="preserve">Intervention &amp; Clinical</t>
        </is>
      </c>
      <c r="K5" t="inlineStr">
        <is>
          <t xml:space="preserve"/>
        </is>
      </c>
      <c r="L5" t="inlineStr">
        <is>
          <t xml:space="preserve">Unclassified</t>
        </is>
      </c>
      <c r="M5" t="inlineStr">
        <is>
          <t xml:space="preserve"/>
        </is>
      </c>
      <c r="N5" t="inlineStr">
        <is>
          <t xml:space="preserve">Screening &amp; diagnosis, Social &amp; communication</t>
        </is>
      </c>
      <c r="O5" t="inlineStr">
        <is>
          <t xml:space="preserve">0</t>
        </is>
      </c>
      <c r="P5" t="inlineStr">
        <is>
          <t xml:space="preserve"/>
        </is>
      </c>
      <c r="Q5" t="inlineStr">
        <is>
          <t xml:space="preserve">42911481</t>
        </is>
      </c>
      <c r="R5" s="3" t="str">
        <f>HYPERLINK("https://doi.org/10.1007/s10803-026-07562-3","10.1007/s10803-026-07562-3")</f>
        <v>10.1007/s10803-026-07562-3</v>
      </c>
      <c r="S5" s="3" t="str">
        <f>HYPERLINK("https://link.springer.com/content/pdf/10.1007/s10803-026-07562-3.pdf","open access")</f>
        <v>open access</v>
      </c>
      <c r="T5" t="inlineStr">
        <is>
          <t xml:space="preserve">Context Matters: Assessing Sex and Diagnostic Differences in Autistic Children's Language Across Tasks With Differing Levels of Structure.</t>
        </is>
      </c>
      <c r="U5" s="3" t="str">
        <f>HYPERLINK("https://pubmed.ncbi.nlm.nih.gov/42911481/","https://pubmed.ncbi.nlm.nih.gov/42911481/")</f>
        <v>https://pubmed.ncbi.nlm.nih.gov/42911481/</v>
      </c>
      <c r="V5" t="inlineStr">
        <is>
          <t xml:space="preserve">Examine how task structure and participant sex influence social-word production in verbally fluent autistic and non-autistic youth during two ADOS‑2 Module 3 tasks (Picture Description and Telling a Story From a Book). One hundred eleven verbally fluent autistic and non-autistic youth (ages 6-15) completed ADOS‑2 Module 3. Groups were matched on age and IQ. Transcripts of Picture Description and Telling a Story From a Book were processed with LIWC‑22 to quantify social words. Generalized linear models predicted social word production in each task using age, IQ, sex, and diagnostic group as predictors, including sex-by-diagnosis interactions. Associations between social-word use in each task and ADOS‑2 Social Affect scores were examined within the autistic group. In the Picture Description task, there was a significant interactive effect of sex and diagnosis. This was driven by non-autistic girls using more social words than any other subgroup. Autistic girls and boys did not differ. In the Telling a Story From a Book task, there were no significant effects of sex or diagnosis. Within the autistic group, participants who used fewer social words during Picture Description task were rated as having greater social difficulties by expert clinicians. Task structure impacts detection of diagnostic and sex-related differences in social language: less structured contexts reveal diagnostic group differences, while structured narrative elicitation attenuates them. Social word production in unstructured settings relates to clinician-rated social difficulties, particularly for autistic girls, highlighting the importance of task selection when assessing pragmatic language.</t>
        </is>
      </c>
    </row>
    <row r="6">
      <c r="A6" t="inlineStr">
        <is>
          <t xml:space="preserve">2026-10-22</t>
        </is>
      </c>
      <c r="B6" t="inlineStr">
        <is>
          <t xml:space="preserve">2026-10-24</t>
        </is>
      </c>
      <c r="C6" t="inlineStr">
        <is>
          <t xml:space="preserve">Edwards G</t>
        </is>
      </c>
      <c r="D6" t="inlineStr">
        <is>
          <t xml:space="preserve">Waite J</t>
        </is>
      </c>
      <c r="E6" t="inlineStr">
        <is>
          <t xml:space="preserve">Edwards G, Tarver J, Mingins JE, et al.</t>
        </is>
      </c>
      <c r="F6" t="inlineStr">
        <is>
          <t xml:space="preserve">Journal of Autism and Developmental Disorders</t>
        </is>
      </c>
      <c r="G6" t="inlineStr">
        <is>
          <t xml:space="preserve">3.2</t>
        </is>
      </c>
      <c r="H6" t="inlineStr">
        <is>
          <t xml:space="preserve">JCR impact factor</t>
        </is>
      </c>
      <c r="I6" t="inlineStr">
        <is>
          <t xml:space="preserve">301</t>
        </is>
      </c>
      <c r="J6" t="inlineStr">
        <is>
          <t xml:space="preserve">Behavioral &amp; Developmental</t>
        </is>
      </c>
      <c r="K6" t="inlineStr">
        <is>
          <t xml:space="preserve">Intervention &amp; Clinical</t>
        </is>
      </c>
      <c r="L6" t="inlineStr">
        <is>
          <t xml:space="preserve">Clinical observation</t>
        </is>
      </c>
      <c r="M6" t="inlineStr">
        <is>
          <t xml:space="preserve"/>
        </is>
      </c>
      <c r="N6" t="inlineStr">
        <is>
          <t xml:space="preserve">Anxiety, mood &amp; comorbidity</t>
        </is>
      </c>
      <c r="O6" t="inlineStr">
        <is>
          <t xml:space="preserve">0</t>
        </is>
      </c>
      <c r="P6" t="inlineStr">
        <is>
          <t xml:space="preserve"/>
        </is>
      </c>
      <c r="Q6" t="inlineStr">
        <is>
          <t xml:space="preserve">42911479</t>
        </is>
      </c>
      <c r="R6" s="3" t="str">
        <f>HYPERLINK("https://doi.org/10.1007/s10803-026-07539-2","10.1007/s10803-026-07539-2")</f>
        <v>10.1007/s10803-026-07539-2</v>
      </c>
      <c r="S6" s="3" t="str">
        <f>HYPERLINK("https://link.springer.com/content/pdf/10.1007/s10803-026-07539-2.pdf","open access")</f>
        <v>open access</v>
      </c>
      <c r="T6" t="inlineStr">
        <is>
          <t xml:space="preserve">Correlates of Anxiety in Children and Adults With Moderate to Profound Intellectual Disability.</t>
        </is>
      </c>
      <c r="U6" s="3" t="str">
        <f>HYPERLINK("https://pubmed.ncbi.nlm.nih.gov/42911479/","https://pubmed.ncbi.nlm.nih.gov/42911479/")</f>
        <v>https://pubmed.ncbi.nlm.nih.gov/42911479/</v>
      </c>
      <c r="V6" t="inlineStr">
        <is>
          <t xml:space="preserve">Identifying potential risk markers implicated in the development and maintenance of anxiety will inform theoretical models and intervention development. However, there is an identified gap in the literature exploring this in individuals with moderate-profound intellectual disability (ID). The current study sought to identify correlates of anxiety in this population. A community-based sample of 165 parents/carers of individuals with ID took part in a cross-sectional questionnaire study exploring the relationships between sensory processing differences, repetitive behaviour, intolerance of uncertainty, health difficulties, and anxiety. Demographic factors such as age and gender, as well as potential covariates including diagnosis and autism characteristics were considered in the analyses. Due to a paucity of validated measures for individuals with moderate-profound ID, analyses were explored across two existing anxiety measures. Diagnosis of genetic syndromes and demographic variables were not consistently significantly associated with anxiety once other factors associated with anxiety were added. Auditory sensory processing differences, intolerance of uncertainty and health difficulties were consistently associated with anxiety. Repetitive behaviour, tactile and visual sensory processing differences were not associated with anxiety, CONCLUSION: This work may help to inform explanations for differing prevalence rates across groups, whilst fostering an inclusive approach by including individuals with diagnoses associated with ID and autism, who may present to the same clinical services.</t>
        </is>
      </c>
    </row>
    <row r="7">
      <c r="A7" t="inlineStr">
        <is>
          <t xml:space="preserve">2026-10-22</t>
        </is>
      </c>
      <c r="B7" t="inlineStr">
        <is>
          <t xml:space="preserve">2026-10-24</t>
        </is>
      </c>
      <c r="C7" t="inlineStr">
        <is>
          <t xml:space="preserve">Russell A</t>
        </is>
      </c>
      <c r="D7" t="inlineStr">
        <is>
          <t xml:space="preserve">Melia R</t>
        </is>
      </c>
      <c r="E7" t="inlineStr">
        <is>
          <t xml:space="preserve">Russell A, Cremen C, Kirby A, et al.</t>
        </is>
      </c>
      <c r="F7" t="inlineStr">
        <is>
          <t xml:space="preserve">Journal of Autism and Developmental Disorders</t>
        </is>
      </c>
      <c r="G7" t="inlineStr">
        <is>
          <t xml:space="preserve">3.2</t>
        </is>
      </c>
      <c r="H7" t="inlineStr">
        <is>
          <t xml:space="preserve">JCR impact factor</t>
        </is>
      </c>
      <c r="I7" t="inlineStr">
        <is>
          <t xml:space="preserve">301</t>
        </is>
      </c>
      <c r="J7" t="inlineStr">
        <is>
          <t xml:space="preserve">Behavioral &amp; Developmental</t>
        </is>
      </c>
      <c r="K7" t="inlineStr">
        <is>
          <t xml:space="preserve"/>
        </is>
      </c>
      <c r="L7" t="inlineStr">
        <is>
          <t xml:space="preserve">Unclassified</t>
        </is>
      </c>
      <c r="M7" t="inlineStr">
        <is>
          <t xml:space="preserve"/>
        </is>
      </c>
      <c r="N7" t="inlineStr">
        <is>
          <t xml:space="preserve">Interventions &amp; supports, Anxiety, mood &amp; comorbidity, Parents, caregivers &amp; family, Lived experience &amp; qualitative</t>
        </is>
      </c>
      <c r="O7" t="inlineStr">
        <is>
          <t xml:space="preserve">0</t>
        </is>
      </c>
      <c r="P7" t="inlineStr">
        <is>
          <t xml:space="preserve"/>
        </is>
      </c>
      <c r="Q7" t="inlineStr">
        <is>
          <t xml:space="preserve">42911478</t>
        </is>
      </c>
      <c r="R7" s="3" t="str">
        <f>HYPERLINK("https://doi.org/10.1007/s10803-026-07573-0","10.1007/s10803-026-07573-0")</f>
        <v>10.1007/s10803-026-07573-0</v>
      </c>
      <c r="S7" t="inlineStr">
        <is>
          <t xml:space="preserve"/>
        </is>
      </c>
      <c r="T7" t="inlineStr">
        <is>
          <t xml:space="preserve">Experiences of Suicide Prevention Interventions and Supports for Autistic Adults: Perspectives of Autistic Adults, Family Members and Clinicians.</t>
        </is>
      </c>
      <c r="U7" s="3" t="str">
        <f>HYPERLINK("https://pubmed.ncbi.nlm.nih.gov/42911478/","https://pubmed.ncbi.nlm.nih.gov/42911478/")</f>
        <v>https://pubmed.ncbi.nlm.nih.gov/42911478/</v>
      </c>
      <c r="V7" t="inlineStr">
        <is>
          <t xml:space="preserve">Autistic adults experience disproportionately high rates of suicidality, yet little research has examined how they experience suicide prevention supports. This study explored perspectives on suicide prevention supports from Autistic adults, family members and clinicians. A qualitative study using reflexive thematic analysis was conducted. Semi-structured interviews were completed with 21 participants: 14 Autistic adults with lived experiences of accessing suicide prevention supports in Ireland, 4 family members and 8 clinicians working with Autistic adults experiencing suicidality. Some participants represented more than one role. Analysis was inductive, informed by a neuroaffirmative, constructivist framework and involved community engagement throughout. Five interconnected themes were generated. Three describe a harmful trajectory through suicide prevention supports. (1) "No one can help me", captures confusing and exclusionary help-seeking experiences. (2) "They weren't listening to me" reflects experiences of being invalidated, misunderstood, and dismissed by supports. (3) "You haven't done anything, just made it worse" describes withdrawal from future help-seeking. Across themes, systems were experienced as crisis-driven, difficult to access, and poorly attuned to Autistic distress, sometimes escalating rather than reducing distress. Two themes reflect protective buffers. (4) "Having someone who is human with you" describes how feeling understood and supported by others helped to contain suicidal distress. (5) "My whole life makes sense now" captures how developing an Autism-informed understanding of oneself reduced self-blame and fostered self-compassion. Autism-informed, relationally attuned suicide prevention approaches that prioritise empathy, accessibility, and individualised support may reduce harm and improve engagement with suicide prevention supports for Autistic adults experiencing suicidal distress.</t>
        </is>
      </c>
    </row>
    <row r="8">
      <c r="A8" t="inlineStr">
        <is>
          <t xml:space="preserve">2026-10-19</t>
        </is>
      </c>
      <c r="B8" t="inlineStr">
        <is>
          <t xml:space="preserve">2026-10-24</t>
        </is>
      </c>
      <c r="C8" t="inlineStr">
        <is>
          <t xml:space="preserve">Kawakami S</t>
        </is>
      </c>
      <c r="D8" t="inlineStr">
        <is>
          <t xml:space="preserve">Otsuka S</t>
        </is>
      </c>
      <c r="E8" t="inlineStr">
        <is>
          <t xml:space="preserve">Kawakami S, Uono S, Murai T, et al.</t>
        </is>
      </c>
      <c r="F8" t="inlineStr">
        <is>
          <t xml:space="preserve">Autism Research</t>
        </is>
      </c>
      <c r="G8" t="inlineStr">
        <is>
          <t xml:space="preserve">5.2</t>
        </is>
      </c>
      <c r="H8" t="inlineStr">
        <is>
          <t xml:space="preserve">JCR impact factor</t>
        </is>
      </c>
      <c r="I8" t="inlineStr">
        <is>
          <t xml:space="preserve">133</t>
        </is>
      </c>
      <c r="J8" t="inlineStr">
        <is>
          <t xml:space="preserve">Behavioral &amp; Developmental</t>
        </is>
      </c>
      <c r="K8" t="inlineStr">
        <is>
          <t xml:space="preserve"/>
        </is>
      </c>
      <c r="L8" t="inlineStr">
        <is>
          <t xml:space="preserve">Unclassified</t>
        </is>
      </c>
      <c r="M8" t="inlineStr">
        <is>
          <t xml:space="preserve"/>
        </is>
      </c>
      <c r="N8" t="inlineStr">
        <is>
          <t xml:space="preserve">Anxiety, mood &amp; comorbidity, Cognition &amp; executive function</t>
        </is>
      </c>
      <c r="O8" t="inlineStr">
        <is>
          <t xml:space="preserve">0</t>
        </is>
      </c>
      <c r="P8" t="inlineStr">
        <is>
          <t xml:space="preserve"/>
        </is>
      </c>
      <c r="Q8" t="inlineStr">
        <is>
          <t xml:space="preserve">42897683</t>
        </is>
      </c>
      <c r="R8" s="3" t="str">
        <f>HYPERLINK("https://doi.org/10.1002/aur.70382","10.1002/aur.70382")</f>
        <v>10.1002/aur.70382</v>
      </c>
      <c r="S8" s="3" t="str">
        <f>HYPERLINK("https://onlinelibrary.wiley.com/doi/pdfdirect/10.1002/aur.70382","open access")</f>
        <v>open access</v>
      </c>
      <c r="T8" t="inlineStr">
        <is>
          <t xml:space="preserve">The Japanese Adaptation of the Reading the Mind in Films Test: Differentiating Autism Spectrum Disorder From Depression Using an Ecologically Valid Social Cognitive Task.</t>
        </is>
      </c>
      <c r="U8" s="3" t="str">
        <f>HYPERLINK("https://pubmed.ncbi.nlm.nih.gov/42897683/","https://pubmed.ncbi.nlm.nih.gov/42897683/")</f>
        <v>https://pubmed.ncbi.nlm.nih.gov/42897683/</v>
      </c>
      <c r="V8" t="inlineStr">
        <is>
          <t xml:space="preserve">Cognitive tests that reflect the complexity of real-world social interactions are essential for autism spectrum disorder (ASD)-related clinical assessment and research. This study developed and adapted a Japanese version of the Reading the Mind in Films (RMF) test, which assesses mind-reading ability through dynamic, multisensory, and context-rich stimuli. Participants included 23 autistic adults, 39 typically developing adults, and 40 adults with depression as a clinical control. RMF scores in the autistic group were significantly lower than in both the typically developing and depression groups. Hierarchical logistic regression analyses showed that RMF performance provided incremental predictive value beyond Reading the Mind in the Eyes test performance in differentiating autistic individuals from typically developing participants and from participants with depression. Receiver operating characteristic analyses further indicated moderate discriminative accuracy of the RMF for differentiating autistic from non-autistic individuals. In contrast, the depression group performed comparably to the typically developing group on the RMF, suggesting that the RMF captures ASD-specific social cognitive difficulties rather than social dysfunction. These findings provide preliminary support for both the construct validity and the potential discriminative utility of the Japanese RMF. This tool has potential applications in future transdiagnostic and cross-cultural studies.</t>
        </is>
      </c>
    </row>
    <row r="9">
      <c r="A9" t="inlineStr">
        <is>
          <t xml:space="preserve">2026-10-17</t>
        </is>
      </c>
      <c r="B9" t="inlineStr">
        <is>
          <t xml:space="preserve">2026-10-24</t>
        </is>
      </c>
      <c r="C9" t="inlineStr">
        <is>
          <t xml:space="preserve">Pemberton E</t>
        </is>
      </c>
      <c r="D9" t="inlineStr">
        <is>
          <t xml:space="preserve">Fox JRE</t>
        </is>
      </c>
      <c r="E9" t="inlineStr">
        <is>
          <t xml:space="preserve">Pemberton E, Milne E, Fox JRE</t>
        </is>
      </c>
      <c r="F9" t="inlineStr">
        <is>
          <t xml:space="preserve">Autism</t>
        </is>
      </c>
      <c r="G9" t="inlineStr">
        <is>
          <t xml:space="preserve">7.5</t>
        </is>
      </c>
      <c r="H9" t="inlineStr">
        <is>
          <t xml:space="preserve">JCR impact factor</t>
        </is>
      </c>
      <c r="I9" t="inlineStr">
        <is>
          <t xml:space="preserve">177</t>
        </is>
      </c>
      <c r="J9" t="inlineStr">
        <is>
          <t xml:space="preserve">Behavioral &amp; Developmental</t>
        </is>
      </c>
      <c r="K9" t="inlineStr">
        <is>
          <t xml:space="preserve"/>
        </is>
      </c>
      <c r="L9" t="inlineStr">
        <is>
          <t xml:space="preserve">Unclassified</t>
        </is>
      </c>
      <c r="M9" t="inlineStr">
        <is>
          <t xml:space="preserve"/>
        </is>
      </c>
      <c r="N9" t="inlineStr">
        <is>
          <t xml:space="preserve">Lived experience &amp; qualitative</t>
        </is>
      </c>
      <c r="O9" t="inlineStr">
        <is>
          <t xml:space="preserve">0</t>
        </is>
      </c>
      <c r="P9" t="inlineStr">
        <is>
          <t xml:space="preserve"/>
        </is>
      </c>
      <c r="Q9" t="inlineStr">
        <is>
          <t xml:space="preserve">42888939</t>
        </is>
      </c>
      <c r="R9" s="3" t="str">
        <f>HYPERLINK("https://doi.org/10.1177/13623613261490599","10.1177/13623613261490599")</f>
        <v>10.1177/13623613261490599</v>
      </c>
      <c r="S9" s="3" t="str">
        <f>HYPERLINK("https://doi.org/10.1177/13623613261490599","open access")</f>
        <v>open access</v>
      </c>
      <c r="T9" t="inlineStr">
        <is>
          <t xml:space="preserve">Why Do You Think You're More Likely to be Queer? Exploring Autistic Perspectives on the Intersection Between Autism and Sexual Minority Identities.</t>
        </is>
      </c>
      <c r="U9" s="3" t="str">
        <f>HYPERLINK("https://pubmed.ncbi.nlm.nih.gov/42888939/","https://pubmed.ncbi.nlm.nih.gov/42888939/")</f>
        <v>https://pubmed.ncbi.nlm.nih.gov/42888939/</v>
      </c>
      <c r="V9" t="inlineStr">
        <is>
          <t xml:space="preserve">Autistic individuals are more likely to be sexual minorities (e.g., gay, lesbian, bisexual, asexual). While several theories have been posited to explain this overlap, the voices of autistic sexual minorities are missing from this conversation. Moreover, there is limited qualitative research exploring the intersection between their dual identities. The co-creation of research by autistic sexual minorities is, therefore, an ethical imperative. This research used semi-structured interviews, facilitated by the shared lived experience of the lead researcher. Fourteen autistic sexual minorities were asked why they think they're more likely to be sexual minorities and how they experience the intersection between their two identities. Reflexive thematic analysis identified four themes: (a) my identities are interconnected, for better or worse, (b) resisting the influence of social norms on sexual orientation, (c) the intersection between autism and a-spec (asexual and aromantic) identities and (d) being autistic within the LGBTQIA+ community. These findings validate intersectionality as a framework for understanding autistic sexual minority identities and suggest that an indifference to social norms is key to autistic sexual minority identities. Recommendations are provided to facilitate inclusive, LGBTQIA+ spaces and develop educational resources to help autistic sexual minorities navigate attraction, intimacy and consent.Lay AbstractAutistic people are more likely to be sexual minorities (e.g., gay, lesbian, bisexual, asexual). Several theories have attempted to explain why this is; however, the actual voices of autistic sexual minorities are missing from this conversation. In addition, there is very little research exploring how their two identities intertwine. As such, a researcher who is part of this community interviewed 14 autistic sexual minority adults to find out why they think they're more likely to be sexual minorities and how their autistic and sexual minority identities influence one another. Through analysing these conversations, four main themes were identified: (a) my identities are interconnected, for better or worse, (b) resisting the influence of social norms on sexual orientation, (c) the intersection between autism and a-spec (asexual and aromantic) identities and (d) being autistic within the LGBTQIA+ community. These findings suggest that autistic and sexual minority identities combine to produce a unique lived experience. Participants suggested that they may be more likely to be a sexual minority because they don't care about following typical social norms. Recommendations are given to create more inclusive LGBTQIA+ spaces and develop educational tools to help autistic people navigate the complexities of attraction, intimacy and consent.</t>
        </is>
      </c>
    </row>
    <row r="10">
      <c r="A10" t="inlineStr">
        <is>
          <t xml:space="preserve">2026-10-16</t>
        </is>
      </c>
      <c r="B10" t="inlineStr">
        <is>
          <t xml:space="preserve">2026-10-24</t>
        </is>
      </c>
      <c r="C10" t="inlineStr">
        <is>
          <t xml:space="preserve">Sukhodolsky DG</t>
        </is>
      </c>
      <c r="D10" t="inlineStr">
        <is>
          <t xml:space="preserve"/>
        </is>
      </c>
      <c r="E10" t="inlineStr">
        <is>
          <t xml:space="preserve">Sukhodolsky DG</t>
        </is>
      </c>
      <c r="F10" t="inlineStr">
        <is>
          <t xml:space="preserve">Journal of the American Academy of Child &amp; Adolescent Psychiatry</t>
        </is>
      </c>
      <c r="G10" t="inlineStr">
        <is>
          <t xml:space="preserve">9.2</t>
        </is>
      </c>
      <c r="H10" t="inlineStr">
        <is>
          <t xml:space="preserve">JCR impact factor</t>
        </is>
      </c>
      <c r="I10" t="inlineStr">
        <is>
          <t xml:space="preserve">359</t>
        </is>
      </c>
      <c r="J10" t="inlineStr">
        <is>
          <t xml:space="preserve">Behavioral &amp; Developmental</t>
        </is>
      </c>
      <c r="K10" t="inlineStr">
        <is>
          <t xml:space="preserve"/>
        </is>
      </c>
      <c r="L10" t="inlineStr">
        <is>
          <t xml:space="preserve">Other</t>
        </is>
      </c>
      <c r="M10" t="inlineStr">
        <is>
          <t xml:space="preserve"/>
        </is>
      </c>
      <c r="N10" t="inlineStr">
        <is>
          <t xml:space="preserve">Sensory &amp; perception</t>
        </is>
      </c>
      <c r="O10" t="inlineStr">
        <is>
          <t xml:space="preserve">0</t>
        </is>
      </c>
      <c r="P10" t="inlineStr">
        <is>
          <t xml:space="preserve"/>
        </is>
      </c>
      <c r="Q10" t="inlineStr">
        <is>
          <t xml:space="preserve">42887673</t>
        </is>
      </c>
      <c r="R10" s="3" t="str">
        <f>HYPERLINK("https://doi.org/10.1016/j.jaac.2026.10.010","10.1016/j.jaac.2026.10.010")</f>
        <v>10.1016/j.jaac.2026.10.010</v>
      </c>
      <c r="S10" t="inlineStr">
        <is>
          <t xml:space="preserve"/>
        </is>
      </c>
      <c r="T10" t="inlineStr">
        <is>
          <t xml:space="preserve">Editorial: Sensory Features and Restricted and Repetitive Behaviors in Autism Spectrum Disorder.</t>
        </is>
      </c>
      <c r="U10" s="3" t="str">
        <f>HYPERLINK("https://pubmed.ncbi.nlm.nih.gov/42887673/","https://pubmed.ncbi.nlm.nih.gov/42887673/")</f>
        <v>https://pubmed.ncbi.nlm.nih.gov/42887673/</v>
      </c>
      <c r="V10" t="inlineStr">
        <is>
          <t xml:space="preserve"/>
        </is>
      </c>
    </row>
    <row r="11">
      <c r="A11" t="inlineStr">
        <is>
          <t xml:space="preserve">2026-10-16</t>
        </is>
      </c>
      <c r="B11" t="inlineStr">
        <is>
          <t xml:space="preserve">2026-10-24</t>
        </is>
      </c>
      <c r="C11" t="inlineStr">
        <is>
          <t xml:space="preserve">Cuni E</t>
        </is>
      </c>
      <c r="D11" t="inlineStr">
        <is>
          <t xml:space="preserve">Cantero-García M</t>
        </is>
      </c>
      <c r="E11" t="inlineStr">
        <is>
          <t xml:space="preserve">Cuni E, Cantero-García M</t>
        </is>
      </c>
      <c r="F11" t="inlineStr">
        <is>
          <t xml:space="preserve">Journal of Autism and Developmental Disorders</t>
        </is>
      </c>
      <c r="G11" t="inlineStr">
        <is>
          <t xml:space="preserve">3.2</t>
        </is>
      </c>
      <c r="H11" t="inlineStr">
        <is>
          <t xml:space="preserve">JCR impact factor</t>
        </is>
      </c>
      <c r="I11" t="inlineStr">
        <is>
          <t xml:space="preserve">301</t>
        </is>
      </c>
      <c r="J11" t="inlineStr">
        <is>
          <t xml:space="preserve">Behavioral &amp; Developmental</t>
        </is>
      </c>
      <c r="K11" t="inlineStr">
        <is>
          <t xml:space="preserve"/>
        </is>
      </c>
      <c r="L11" t="inlineStr">
        <is>
          <t xml:space="preserve">Review / synthesis</t>
        </is>
      </c>
      <c r="M11" t="inlineStr">
        <is>
          <t xml:space="preserve"/>
        </is>
      </c>
      <c r="N11" t="inlineStr">
        <is>
          <t xml:space="preserve">Lived experience &amp; qualitative</t>
        </is>
      </c>
      <c r="O11" t="inlineStr">
        <is>
          <t xml:space="preserve">0</t>
        </is>
      </c>
      <c r="P11" t="inlineStr">
        <is>
          <t xml:space="preserve"/>
        </is>
      </c>
      <c r="Q11" t="inlineStr">
        <is>
          <t xml:space="preserve">42886452</t>
        </is>
      </c>
      <c r="R11" s="3" t="str">
        <f>HYPERLINK("https://doi.org/10.1007/s10803-026-07557-0","10.1007/s10803-026-07557-0")</f>
        <v>10.1007/s10803-026-07557-0</v>
      </c>
      <c r="S11" s="3" t="str">
        <f>HYPERLINK("https://doi.org/10.1007/s10803-026-07557-0","open access")</f>
        <v>open access</v>
      </c>
      <c r="T11" t="inlineStr">
        <is>
          <t xml:space="preserve">Autistic Masking and Mental Health Outcomes in Autistic Women: A Systematic Review (2015-2025).</t>
        </is>
      </c>
      <c r="U11" s="3" t="str">
        <f>HYPERLINK("https://pubmed.ncbi.nlm.nih.gov/42886452/","https://pubmed.ncbi.nlm.nih.gov/42886452/")</f>
        <v>https://pubmed.ncbi.nlm.nih.gov/42886452/</v>
      </c>
      <c r="V11" t="inlineStr">
        <is>
          <t xml:space="preserve">Autistic masking-the behavioral and cognitive strategies through which autistic individuals conceal or compensate for their autistic traits to navigate neurotypical social environments-has been consistently linked to adverse mental health outcomes, with women disproportionately affected. This systematic review examined the association between autistic masking and anxiety, depression, autistic burnout, and suicidality in autistic adult women, and identified which mental health indicators are most consistently predicted by masking. A systematic search was conducted across five databases (PubMed, Web of Science Core Collection, Scopus, APA PsycINFO, and ProQuest One Psychology) covering publications from January 2015 to December 2025, following PRISMA 2020 guidelines (PROSPERO: CRD420261342682). Eligibility criteria required autistic adult women (≥ 18 years) with formal diagnosis, explicit measurement of masking, and at least one specified mental health outcome. Methodological quality was assessed using the Newcastle-Ottawa Scale and CASP. Nine studies (2018-2025) were included, with a combined analytic sample exceeding 1,500 women across seven countries. Masking was consistently associated with anxiety (β = 0.21-0.22; d = 0.93) and depression (g = 0.56; Nagelkerke R² = 0.358 via structured lifetime diagnosis), and constituted an independent predictor of suicidality (β = 0.198; OR = 5.04 vs. general population). The CAT-Q assimilation subscale was the specific predictor of suicidal ideation in women, mediated by anxiety. No study assessed autistic burnout with validated instruments. Masking constitutes a significant and independent psychosocial risk factor for mental health deterioration in autistic adult women. Systematic assessment using validated instruments such as the CAT-Q should be integrated into clinical mental health and suicide risk evaluation protocols for this population. This review was prospectively registered in PROSPERO (CRD420261342682; https://www.crd.york.ac.uk/prospero/display_record.php?RecordID=420261342682 ).</t>
        </is>
      </c>
    </row>
    <row r="12">
      <c r="A12" t="inlineStr">
        <is>
          <t xml:space="preserve">2026-10-16</t>
        </is>
      </c>
      <c r="B12" t="inlineStr">
        <is>
          <t xml:space="preserve">2026-10-24</t>
        </is>
      </c>
      <c r="C12" t="inlineStr">
        <is>
          <t xml:space="preserve">Wohofsky L</t>
        </is>
      </c>
      <c r="D12" t="inlineStr">
        <is>
          <t xml:space="preserve">Krainer D</t>
        </is>
      </c>
      <c r="E12" t="inlineStr">
        <is>
          <t xml:space="preserve">Wohofsky L, Küffner C, Fink SH, et al.</t>
        </is>
      </c>
      <c r="F12" t="inlineStr">
        <is>
          <t xml:space="preserve">Journal of Autism and Developmental Disorders</t>
        </is>
      </c>
      <c r="G12" t="inlineStr">
        <is>
          <t xml:space="preserve">3.2</t>
        </is>
      </c>
      <c r="H12" t="inlineStr">
        <is>
          <t xml:space="preserve">JCR impact factor</t>
        </is>
      </c>
      <c r="I12" t="inlineStr">
        <is>
          <t xml:space="preserve">301</t>
        </is>
      </c>
      <c r="J12" t="inlineStr">
        <is>
          <t xml:space="preserve">Behavioral &amp; Developmental</t>
        </is>
      </c>
      <c r="K12" t="inlineStr">
        <is>
          <t xml:space="preserve"/>
        </is>
      </c>
      <c r="L12" t="inlineStr">
        <is>
          <t xml:space="preserve">Clinical observation</t>
        </is>
      </c>
      <c r="M12" t="inlineStr">
        <is>
          <t xml:space="preserve"/>
        </is>
      </c>
      <c r="N12" t="inlineStr">
        <is>
          <t xml:space="preserve"/>
        </is>
      </c>
      <c r="O12" t="inlineStr">
        <is>
          <t xml:space="preserve">0</t>
        </is>
      </c>
      <c r="P12" t="inlineStr">
        <is>
          <t xml:space="preserve"/>
        </is>
      </c>
      <c r="Q12" t="inlineStr">
        <is>
          <t xml:space="preserve">42886451</t>
        </is>
      </c>
      <c r="R12" s="3" t="str">
        <f>HYPERLINK("https://doi.org/10.1007/s10803-026-07570-3","10.1007/s10803-026-07570-3")</f>
        <v>10.1007/s10803-026-07570-3</v>
      </c>
      <c r="S12" s="3" t="str">
        <f>HYPERLINK("https://link.springer.com/content/pdf/10.1007/s10803-026-07570-3.pdf","open access")</f>
        <v>open access</v>
      </c>
      <c r="T12" t="inlineStr">
        <is>
          <t xml:space="preserve">Development of Autism-Inclusive Approaches for Everyday Life in a Participatory Process: From Challenges to Resolutions.</t>
        </is>
      </c>
      <c r="U12" s="3" t="str">
        <f>HYPERLINK("https://pubmed.ncbi.nlm.nih.gov/42886451/","https://pubmed.ncbi.nlm.nih.gov/42886451/")</f>
        <v>https://pubmed.ncbi.nlm.nih.gov/42886451/</v>
      </c>
      <c r="V12" t="inlineStr">
        <is>
          <t xml:space="preserve">People on the autism spectrum encounter significant challenges in different activities of daily living. This paper presents the findings of a participatory research study that explores the potential of this approach to address the needs of individuals on the autism spectrum and outlines the outcomes emerging from the participatory process. This participatory research project was grounded in the Open Innovation in Science framework. In different phases of the project, various participatory research methods were employed: advisor consultations, group discussions, questionnaires, and participatory working groups. As the core part of the participatory process, six working groups were formed, comprising people on the autism spectrum and other experts. These citizen scientists led all decision-making and implementation. A survey on challenges in the daily lives of people on the autism spectrum identified difficulties in social interaction, public transport, education, contact with public authorities, and the healthcare system. Based on these results, six working groups comprising 28 citizen scientists worked over a ten-month period to enhance the daily lives of individuals with autism by fostering greater inclusivity. The groups worked on the domains "Working Life", "Education", "Public Authority Contacts", "Shopping", "Healthcare System", and "Information, Networking, and Exchange". Among other outcomes, the working groups developed a toolbox of educational materials for schools and a map of autism-inclusive healthcare providers. The results of this project demonstrate the potential of community-driven initiatives in addressing the multifaceted needs of individuals on the autism spectrum and contribute to developing autism-inclusive environments across various domains of daily life.</t>
        </is>
      </c>
    </row>
    <row r="13">
      <c r="A13" t="inlineStr">
        <is>
          <t xml:space="preserve">2026-10-16</t>
        </is>
      </c>
      <c r="B13" t="inlineStr">
        <is>
          <t xml:space="preserve">2026-10-24</t>
        </is>
      </c>
      <c r="C13" t="inlineStr">
        <is>
          <t xml:space="preserve">Lim A</t>
        </is>
      </c>
      <c r="D13" t="inlineStr">
        <is>
          <t xml:space="preserve">Brewer N</t>
        </is>
      </c>
      <c r="E13" t="inlineStr">
        <is>
          <t xml:space="preserve">Lim A, Brewer N</t>
        </is>
      </c>
      <c r="F13" t="inlineStr">
        <is>
          <t xml:space="preserve">Journal of Autism and Developmental Disorders</t>
        </is>
      </c>
      <c r="G13" t="inlineStr">
        <is>
          <t xml:space="preserve">3.2</t>
        </is>
      </c>
      <c r="H13" t="inlineStr">
        <is>
          <t xml:space="preserve">JCR impact factor</t>
        </is>
      </c>
      <c r="I13" t="inlineStr">
        <is>
          <t xml:space="preserve">301</t>
        </is>
      </c>
      <c r="J13" t="inlineStr">
        <is>
          <t xml:space="preserve">Behavioral &amp; Developmental</t>
        </is>
      </c>
      <c r="K13" t="inlineStr">
        <is>
          <t xml:space="preserve">Intervention &amp; Clinical</t>
        </is>
      </c>
      <c r="L13" t="inlineStr">
        <is>
          <t xml:space="preserve">Clinical observation</t>
        </is>
      </c>
      <c r="M13" t="inlineStr">
        <is>
          <t xml:space="preserve"/>
        </is>
      </c>
      <c r="N13" t="inlineStr">
        <is>
          <t xml:space="preserve">Screening &amp; diagnosis</t>
        </is>
      </c>
      <c r="O13" t="inlineStr">
        <is>
          <t xml:space="preserve">0</t>
        </is>
      </c>
      <c r="P13" t="inlineStr">
        <is>
          <t xml:space="preserve"/>
        </is>
      </c>
      <c r="Q13" t="inlineStr">
        <is>
          <t xml:space="preserve">42886448</t>
        </is>
      </c>
      <c r="R13" s="3" t="str">
        <f>HYPERLINK("https://doi.org/10.1007/s10803-026-07580-1","10.1007/s10803-026-07580-1")</f>
        <v>10.1007/s10803-026-07580-1</v>
      </c>
      <c r="S13" s="3" t="str">
        <f>HYPERLINK("https://link.springer.com/content/pdf/10.1007/s10803-026-07580-1.pdf","open access")</f>
        <v>open access</v>
      </c>
      <c r="T13" t="inlineStr">
        <is>
          <t xml:space="preserve">Cyber Dependent Crime May Be Predicted by Autism Diagnosis but Not Autistic Traits.</t>
        </is>
      </c>
      <c r="U13" s="3" t="str">
        <f>HYPERLINK("https://pubmed.ncbi.nlm.nih.gov/42886448/","https://pubmed.ncbi.nlm.nih.gov/42886448/")</f>
        <v>https://pubmed.ncbi.nlm.nih.gov/42886448/</v>
      </c>
      <c r="V13" t="inlineStr">
        <is>
          <t xml:space="preserve">Previous research has produced mixed findings on the question of whether autism or the degree of autistic traits influence the prevalence of cybercrime. Our objective was to resolve some of these inconsistencies by investigating the relationships between autism diagnosis, autistic traits, advanced computer skills and different types of cybercrime in adults. Autistic (N = 138) and non-autistic (N = 206) adults completed (a) the 50-item Autism Spectrum Quotient to assess degree of autistic traits, (b) the Cyber-Dependent Crime Questionnaire and the Cyber Crime Index to measure the prevalence of cyber-dependent and cyber-enabled crime, and (c) the LiES and the BIDR-16 to permit control for any tendency of participants to lie and provide socially desirable responses. Participants who endorsed any engagement in cybercrime also described the activity to ensure that any disclosure of cybercrime was in fact criminal activity. Autism diagnosis, but not autistic traits, was a significant predictor of cyber-dependent crime. However, this relationship was not mediated by advanced digital skills or theory of mind. Furthermore, neither autism diagnosis nor autistic traits predicted engagement in cybercrime more broadly. Contrary to the view that autistic individuals are no more likely to become involved in criminal activity than non-autistic adults, our study indicates that autism may be a risk factor for involvement in cybercrime. However, whether autism diagnosis is the driving factor in this relationship, or there are other individual and socio-environmental factors that might be critical enabling factors, awaits further investigation.</t>
        </is>
      </c>
    </row>
    <row r="14">
      <c r="A14" t="inlineStr">
        <is>
          <t xml:space="preserve">2026-10-16</t>
        </is>
      </c>
      <c r="B14" t="inlineStr">
        <is>
          <t xml:space="preserve">2026-10-24</t>
        </is>
      </c>
      <c r="C14" t="inlineStr">
        <is>
          <t xml:space="preserve">Flores J</t>
        </is>
      </c>
      <c r="D14" t="inlineStr">
        <is>
          <t xml:space="preserve">Zimic M</t>
        </is>
      </c>
      <c r="E14" t="inlineStr">
        <is>
          <t xml:space="preserve">Flores J, Montero AE, Barrientos F, et al.</t>
        </is>
      </c>
      <c r="F14" t="inlineStr">
        <is>
          <t xml:space="preserve">Journal of Autism and Developmental Disorders</t>
        </is>
      </c>
      <c r="G14" t="inlineStr">
        <is>
          <t xml:space="preserve">3.2</t>
        </is>
      </c>
      <c r="H14" t="inlineStr">
        <is>
          <t xml:space="preserve">JCR impact factor</t>
        </is>
      </c>
      <c r="I14" t="inlineStr">
        <is>
          <t xml:space="preserve">301</t>
        </is>
      </c>
      <c r="J14" t="inlineStr">
        <is>
          <t xml:space="preserve">Intervention &amp; Clinical</t>
        </is>
      </c>
      <c r="K14" t="inlineStr">
        <is>
          <t xml:space="preserve"/>
        </is>
      </c>
      <c r="L14" t="inlineStr">
        <is>
          <t xml:space="preserve">Unclassified</t>
        </is>
      </c>
      <c r="M14" t="inlineStr">
        <is>
          <t xml:space="preserve"/>
        </is>
      </c>
      <c r="N14" t="inlineStr">
        <is>
          <t xml:space="preserve">Screening &amp; diagnosis</t>
        </is>
      </c>
      <c r="O14" t="inlineStr">
        <is>
          <t xml:space="preserve">0</t>
        </is>
      </c>
      <c r="P14" t="inlineStr">
        <is>
          <t xml:space="preserve"/>
        </is>
      </c>
      <c r="Q14" t="inlineStr">
        <is>
          <t xml:space="preserve">42886447</t>
        </is>
      </c>
      <c r="R14" s="3" t="str">
        <f>HYPERLINK("https://doi.org/10.1007/s10803-026-07501-2","10.1007/s10803-026-07501-2")</f>
        <v>10.1007/s10803-026-07501-2</v>
      </c>
      <c r="S14" t="inlineStr">
        <is>
          <t xml:space="preserve"/>
        </is>
      </c>
      <c r="T14" t="inlineStr">
        <is>
          <t xml:space="preserve">Analysis of the Pupillary Light Reflex Response Against Light Stimuli for Autism Screening in Children.</t>
        </is>
      </c>
      <c r="U14" s="3" t="str">
        <f>HYPERLINK("https://pubmed.ncbi.nlm.nih.gov/42886447/","https://pubmed.ncbi.nlm.nih.gov/42886447/")</f>
        <v>https://pubmed.ncbi.nlm.nih.gov/42886447/</v>
      </c>
      <c r="V14" t="inlineStr">
        <is>
          <t xml:space="preserve">Traditional diagnostic methods for autism spectrum disorder (ASD) predominantly rely on behavioral scales, which can be less effective among young children. This delay in diagnosis impedes timely interventions crucial for improving developmental outcomes. Pupillometry, which measures the pupillary light reflex (PLR), serves as a promising technique to address these challenges. It has the potential to provide biological insights into the central nervous system's functioning, indirectly revealing potential ASD risk. This pilot proof-of-concept study assessed the PLR in 30 children aged 2-5, including 14 diagnosed with ASD (3 females) and 16 typically developing (TD) peers (10 females). The Modified Checklist for Autism in Toddlers (M-CHAT) and the Autism Diagnostic Observation Schedule-2 (ADOS-2) examinations complemented the PLR evaluations to confirm ASD diagnoses. Pupillary responses were recorded through 5 s video captures, emphasizing the measurement of contraction degree, latency, and time to maximum contraction. Quantitative analysis demonstrated a significantly greater degree of pupillary constriction in ASD than TD children, while shorter latency and constriction time showed trend-level differences. An exploratory logistic regression model demonstrated promising in-sample discrimination between ASD and TD children (sensitivity 93%, specificity 86%, AUC 0.93); however, these estimates were obtained without external validation or cross-validation. Pupillometry has the potential to become a method for early ASD detection. Its minimal requirement for child cooperation, low operational costs and ease of use, favors this technique as a tool for early screening and intervention in young children, particularly beneficial in resource-limited settings where traditional diagnostic facilities are scarce.</t>
        </is>
      </c>
    </row>
    <row r="15">
      <c r="A15" t="inlineStr">
        <is>
          <t xml:space="preserve">2026-10-15</t>
        </is>
      </c>
      <c r="B15" t="inlineStr">
        <is>
          <t xml:space="preserve">2026-10-24</t>
        </is>
      </c>
      <c r="C15" t="inlineStr">
        <is>
          <t xml:space="preserve">Han JE</t>
        </is>
      </c>
      <c r="D15" t="inlineStr">
        <is>
          <t xml:space="preserve">Kim SH</t>
        </is>
      </c>
      <c r="E15" t="inlineStr">
        <is>
          <t xml:space="preserve">Han JE, Shin Y, Elias R, et al.</t>
        </is>
      </c>
      <c r="F15" t="inlineStr">
        <is>
          <t xml:space="preserve">Journal of Autism and Developmental Disorders</t>
        </is>
      </c>
      <c r="G15" t="inlineStr">
        <is>
          <t xml:space="preserve">3.2</t>
        </is>
      </c>
      <c r="H15" t="inlineStr">
        <is>
          <t xml:space="preserve">JCR impact factor</t>
        </is>
      </c>
      <c r="I15" t="inlineStr">
        <is>
          <t xml:space="preserve">301</t>
        </is>
      </c>
      <c r="J15" t="inlineStr">
        <is>
          <t xml:space="preserve">Intervention &amp; Clinical</t>
        </is>
      </c>
      <c r="K15" t="inlineStr">
        <is>
          <t xml:space="preserve"/>
        </is>
      </c>
      <c r="L15" t="inlineStr">
        <is>
          <t xml:space="preserve">Unclassified</t>
        </is>
      </c>
      <c r="M15" t="inlineStr">
        <is>
          <t xml:space="preserve"/>
        </is>
      </c>
      <c r="N15" t="inlineStr">
        <is>
          <t xml:space="preserve">Interventions &amp; supports, Social &amp; communication, Parents, caregivers &amp; family</t>
        </is>
      </c>
      <c r="O15" t="inlineStr">
        <is>
          <t xml:space="preserve">0</t>
        </is>
      </c>
      <c r="P15" t="inlineStr">
        <is>
          <t xml:space="preserve"/>
        </is>
      </c>
      <c r="Q15" t="inlineStr">
        <is>
          <t xml:space="preserve">42881350</t>
        </is>
      </c>
      <c r="R15" s="3" t="str">
        <f>HYPERLINK("https://doi.org/10.1007/s10803-026-07575-y","10.1007/s10803-026-07575-y")</f>
        <v>10.1007/s10803-026-07575-y</v>
      </c>
      <c r="S15" t="inlineStr">
        <is>
          <t xml:space="preserve"/>
        </is>
      </c>
      <c r="T15" t="inlineStr">
        <is>
          <t xml:space="preserve">Comparing Intervention Outcome Measures Across Clinic and Home for Young Autistic Children: Brief Observation of Social Communication Change (BOSCC) and Measure of NDBI Strategy Implementation-Caregiver Change (MONSI-CC).</t>
        </is>
      </c>
      <c r="U15" s="3" t="str">
        <f>HYPERLINK("https://pubmed.ncbi.nlm.nih.gov/42881350/","https://pubmed.ncbi.nlm.nih.gov/42881350/")</f>
        <v>https://pubmed.ncbi.nlm.nih.gov/42881350/</v>
      </c>
      <c r="V15" t="inlineStr">
        <is>
          <t xml:space="preserve">Growing use of multiple Naturalistic Developmental Behavioral Interventions (NDBIs) across service settings has highlighted the need for flexible outcome measures. However, prior research has been limited by a lack of standardized tools to sensitively capture changes in autistic children's behavior and caregiver strategy use across contexts. The present study examined the feasibility and reliability of the Brief Observation of Social Communication Change (BOSCC) and the Measure of NDBI Strategy Implementation-Caregiver Change (MONSI-CC) across clinic and home settings, as well as cross-context comparability and associations between child and caregiver behaviors. Sixty caregiver-child dyads completed standardized 12-minute caregiver-led play tasks in both clinic and home contexts. During home administration, research staff provided real-time remote support and prompts consistent with clinic procedures. Feasibility and acceptability of home administration were evaluated using descriptive statistics. Reliability was examined in terms of internal consistency, inter-rater reliability, and test-retest reliability. Cross-context comparability and associations between the two measures were examined using paired-sample t-tests and Pearson correlations. Home administration showed high caregiver acceptability and strong fidelity. The BOSCC and MONSI-CC showed generally similar reliability patterns across contexts. Most BOSCC and MONSI-CC scores did not differ significantly between contexts, and several showed significant cross-context associations. Associations between autistic children's social communication and caregiver strategy use were strongest within the same context but also evident across settings. Brief, standardized observational assessments may provide scalable tools for assessing caregiver and child behavior across clinic- and home-based early intervention settings.</t>
        </is>
      </c>
    </row>
    <row r="16">
      <c r="A16" t="inlineStr">
        <is>
          <t xml:space="preserve">2026-10-20</t>
        </is>
      </c>
      <c r="B16" t="inlineStr">
        <is>
          <t xml:space="preserve">2026-10-24</t>
        </is>
      </c>
      <c r="C16" t="inlineStr">
        <is>
          <t xml:space="preserve">Liao C</t>
        </is>
      </c>
      <c r="D16" t="inlineStr">
        <is>
          <t xml:space="preserve">Neale BM</t>
        </is>
      </c>
      <c r="E16" t="inlineStr">
        <is>
          <t xml:space="preserve">Liao C, Ye R, Ivankovic F, et al.</t>
        </is>
      </c>
      <c r="F16" t="inlineStr">
        <is>
          <t xml:space="preserve">Nature Genetics</t>
        </is>
      </c>
      <c r="G16" t="inlineStr">
        <is>
          <t xml:space="preserve">29.0</t>
        </is>
      </c>
      <c r="H16" t="inlineStr">
        <is>
          <t xml:space="preserve">JCR impact factor</t>
        </is>
      </c>
      <c r="I16" t="inlineStr">
        <is>
          <t xml:space="preserve">788</t>
        </is>
      </c>
      <c r="J16" t="inlineStr">
        <is>
          <t xml:space="preserve">Genetics &amp; Molecular</t>
        </is>
      </c>
      <c r="K16" t="inlineStr">
        <is>
          <t xml:space="preserve"/>
        </is>
      </c>
      <c r="L16" t="inlineStr">
        <is>
          <t xml:space="preserve">Unclassified</t>
        </is>
      </c>
      <c r="M16" t="inlineStr">
        <is>
          <t xml:space="preserve"/>
        </is>
      </c>
      <c r="N16" t="inlineStr">
        <is>
          <t xml:space="preserve">Sequencing &amp; rare variants</t>
        </is>
      </c>
      <c r="O16" t="inlineStr">
        <is>
          <t xml:space="preserve">0</t>
        </is>
      </c>
      <c r="P16" t="inlineStr">
        <is>
          <t xml:space="preserve"/>
        </is>
      </c>
      <c r="Q16" t="inlineStr">
        <is>
          <t xml:space="preserve">42901987</t>
        </is>
      </c>
      <c r="R16" s="3" t="str">
        <f>HYPERLINK("https://doi.org/10.1038/s41588-026-02783-9","10.1038/s41588-026-02783-9")</f>
        <v>10.1038/s41588-026-02783-9</v>
      </c>
      <c r="S16" s="3" t="str">
        <f>HYPERLINK("https://www.nature.com/articles/s41588-026-02783-9.pdf","open access")</f>
        <v>open access</v>
      </c>
      <c r="T16" t="inlineStr">
        <is>
          <t xml:space="preserve">The landscape of gene loss and missense variation across the mammalian tree informs on gene essentiality.</t>
        </is>
      </c>
      <c r="U16" s="3" t="str">
        <f>HYPERLINK("https://pubmed.ncbi.nlm.nih.gov/42901987/","https://pubmed.ncbi.nlm.nih.gov/42901987/")</f>
        <v>https://pubmed.ncbi.nlm.nih.gov/42901987/</v>
      </c>
      <c r="V16" t="inlineStr">
        <is>
          <t xml:space="preserve">Patterns of gene and sequence preservation across species provide insight into gene essentiality under natural selection. Here we developed two interspecies constraint metrics across 462 mammalian species: Gene Identity Score of Mammalian Orthologs (GISMO), which quantifies gene loss weighted by evolutionary distance to humans, and GISMO-mis, which measures missense constraint using the ratio of missense to synonymous variation across mammals. Both metrics are strongly correlated with human loss of function, missense and dosage constraint derived from large-scale sequencing studies, yet are largely independent of coding sequence length. GISMO and GISMO-mis identify essential genes missed by existing human-only metrics, particularly short genes. Genes in the most constrained deciles are enriched for rare variant associations in disorders linked to reduced fecundity, including schizophrenia, autism and neurodevelopmental disorders, and show strong enrichment for common variant heritability. These deciles also exhibit reduced copy number variation, consistent with dosage sensitivity. In addition, GISMO improves prioritization of recessive disease genes and captures signatures of homozygous selection across the mammalian tree. Taken together, GISMO and GISMO-mis leverage deep mammalian evolution to provide complementary, length-robust measures of gene essentiality that strengthen disease-gene prioritization and illuminate the selective forces shaping human biology.</t>
        </is>
      </c>
    </row>
    <row r="17">
      <c r="A17" t="inlineStr">
        <is>
          <t xml:space="preserve">2026-10-15</t>
        </is>
      </c>
      <c r="B17" t="inlineStr">
        <is>
          <t xml:space="preserve">2026-10-24</t>
        </is>
      </c>
      <c r="C17" t="inlineStr">
        <is>
          <t xml:space="preserve">Hao Y</t>
        </is>
      </c>
      <c r="D17" t="inlineStr">
        <is>
          <t xml:space="preserve">Troyanskaya OG</t>
        </is>
      </c>
      <c r="E17" t="inlineStr">
        <is>
          <t xml:space="preserve">Hao Y, Park CY, Theesfeld CL, et al.</t>
        </is>
      </c>
      <c r="F17" t="inlineStr">
        <is>
          <t xml:space="preserve">Nature Neuroscience</t>
        </is>
      </c>
      <c r="G17" t="inlineStr">
        <is>
          <t xml:space="preserve">21.2</t>
        </is>
      </c>
      <c r="H17" t="inlineStr">
        <is>
          <t xml:space="preserve">JCR impact factor</t>
        </is>
      </c>
      <c r="I17" t="inlineStr">
        <is>
          <t xml:space="preserve">605</t>
        </is>
      </c>
      <c r="J17" t="inlineStr">
        <is>
          <t xml:space="preserve">Neuroscience &amp; Imaging</t>
        </is>
      </c>
      <c r="K17" t="inlineStr">
        <is>
          <t xml:space="preserve">Genetics &amp; Molecular</t>
        </is>
      </c>
      <c r="L17" t="inlineStr">
        <is>
          <t xml:space="preserve">Clinical observation</t>
        </is>
      </c>
      <c r="M17" t="inlineStr">
        <is>
          <t xml:space="preserve"/>
        </is>
      </c>
      <c r="N17" t="inlineStr">
        <is>
          <t xml:space="preserve"/>
        </is>
      </c>
      <c r="O17" t="inlineStr">
        <is>
          <t xml:space="preserve">1</t>
        </is>
      </c>
      <c r="P17" t="inlineStr">
        <is>
          <t xml:space="preserve"/>
        </is>
      </c>
      <c r="Q17" t="inlineStr">
        <is>
          <t xml:space="preserve">42881222</t>
        </is>
      </c>
      <c r="R17" s="3" t="str">
        <f>HYPERLINK("https://doi.org/10.1038/s41593-026-02470-2","10.1038/s41593-026-02470-2")</f>
        <v>10.1038/s41593-026-02470-2</v>
      </c>
      <c r="S17" t="inlineStr">
        <is>
          <t xml:space="preserve"/>
        </is>
      </c>
      <c r="T17" t="inlineStr">
        <is>
          <t xml:space="preserve">Spatiotemporal AI-based modeling of gene regulation and variant effects in the developing human brain using Seal.</t>
        </is>
      </c>
      <c r="U17" s="3" t="str">
        <f>HYPERLINK("https://pubmed.ncbi.nlm.nih.gov/42881222/","https://pubmed.ncbi.nlm.nih.gov/42881222/")</f>
        <v>https://pubmed.ncbi.nlm.nih.gov/42881222/</v>
      </c>
      <c r="V17" t="inlineStr">
        <is>
          <t xml:space="preserve">Understanding how genetic variation shapes gene regulation in the developing human brain remains a central challenge in neuroscience, particularly in transient cell types and developmental stages where data are limited. We present Seal, an interpretable artificial intelligence (AI) transfer learning framework for genome-based modeling of gene expression and variant effects with spatiotemporal resolution across 26 regions, 30 cell types and 7 developmental stages. Seal predictions provide mechanistic interpretation by linking variants to transcriptional regulators in a spatiotemporal context. Applying Seal to genome-wide association studies, we identify shared and distinct regulatory architectures across six neuropsychiatric conditions that align with clinical trajectories. In the Simons Simplex Collection autism cohort whole-genome data, Seal uncovers a significant burden of de novo regulatory variants in transient fetal excitatory neurons, revealing cell-type-specific and stage-specific effects. By connecting genetic variation to spatiotemporal regulatory programs, Seal offers a general framework for uncovering mechanisms of human brain development and disease.</t>
        </is>
      </c>
    </row>
    <row r="18">
      <c r="A18" t="inlineStr">
        <is>
          <t xml:space="preserve">2026-10-22</t>
        </is>
      </c>
      <c r="B18" t="inlineStr">
        <is>
          <t xml:space="preserve">2026-10-24</t>
        </is>
      </c>
      <c r="C18" t="inlineStr">
        <is>
          <t xml:space="preserve">Findling RL</t>
        </is>
      </c>
      <c r="D18" t="inlineStr">
        <is>
          <t xml:space="preserve">Smith E</t>
        </is>
      </c>
      <c r="E18" t="inlineStr">
        <is>
          <t xml:space="preserve">Findling RL, Bozhdaraj D, Duffy W, et al.</t>
        </is>
      </c>
      <c r="F18" t="inlineStr">
        <is>
          <t xml:space="preserve">Journal of the American Academy of Child &amp; Adolescent Psychiatry</t>
        </is>
      </c>
      <c r="G18" t="inlineStr">
        <is>
          <t xml:space="preserve">9.2</t>
        </is>
      </c>
      <c r="H18" t="inlineStr">
        <is>
          <t xml:space="preserve">JCR impact factor</t>
        </is>
      </c>
      <c r="I18" t="inlineStr">
        <is>
          <t xml:space="preserve">359</t>
        </is>
      </c>
      <c r="J18" t="inlineStr">
        <is>
          <t xml:space="preserve">Behavioral &amp; Developmental</t>
        </is>
      </c>
      <c r="K18" t="inlineStr">
        <is>
          <t xml:space="preserve"/>
        </is>
      </c>
      <c r="L18" t="inlineStr">
        <is>
          <t xml:space="preserve">Clinical trial</t>
        </is>
      </c>
      <c r="M18" t="inlineStr">
        <is>
          <t xml:space="preserve"/>
        </is>
      </c>
      <c r="N18" t="inlineStr">
        <is>
          <t xml:space="preserve">Interventions &amp; supports, Trials &amp; outcomes, Anxiety, mood &amp; comorbidity</t>
        </is>
      </c>
      <c r="O18" t="inlineStr">
        <is>
          <t xml:space="preserve">0</t>
        </is>
      </c>
      <c r="P18" t="inlineStr">
        <is>
          <t xml:space="preserve"/>
        </is>
      </c>
      <c r="Q18" t="inlineStr">
        <is>
          <t xml:space="preserve">42914007</t>
        </is>
      </c>
      <c r="R18" s="3" t="str">
        <f>HYPERLINK("https://doi.org/10.1016/j.jaac.2026.10.017","10.1016/j.jaac.2026.10.017")</f>
        <v>10.1016/j.jaac.2026.10.017</v>
      </c>
      <c r="S18" s="3" t="str">
        <f>HYPERLINK("https://doi.org/10.1016/j.jaac.2026.10.017","open access")</f>
        <v>open access</v>
      </c>
      <c r="T18" t="inlineStr">
        <is>
          <t xml:space="preserve">Cariprazine in the Treatment of Pediatric Patients With Irritability Associated With Autism Spectrum Disorder: A Randomized Controlled Trial.</t>
        </is>
      </c>
      <c r="U18" s="3" t="str">
        <f>HYPERLINK("https://pubmed.ncbi.nlm.nih.gov/42914007/","https://pubmed.ncbi.nlm.nih.gov/42914007/")</f>
        <v>https://pubmed.ncbi.nlm.nih.gov/42914007/</v>
      </c>
      <c r="V18" t="inlineStr">
        <is>
          <t xml:space="preserve">To evaluate the efficacy and safety of cariprazine in youth with irritability associated with autism spectrum disorder (ASD). This 8-week, multicenter, randomized, double-blind, controlled trial compared age- and weight-dependent flexibly-dosed cariprazine (0.75-3 mg/day) versus placebo in youth (5-17y) with ASD and irritability. The primary efficacy endpoint was week 8 change from baseline in caregiver-rated Aberrant Behavior Checklist-Irritability subscale (ABC-I) score. The first key secondary endpoint was the week 8 proportion of participants who were responders for clinician-rated Clinical Global Impressions-Change (CGI-C) in irritability ("much improved" or "very much improved"). 155 participants (mean age 10.6y, 70% male participants) received ≥1 study dose; 152 had baseline and ≥1 postbaseline ABC-I or CGI-C scores (n=74 cariprazine, n=78 placebo), with 81% completing the treatment period and 3.9% discontinuing due to treatment-emergent adverse events (TEAEs). The cariprazine group had significantly greater week 8 ABC-I improvement than placebo (least square mean difference [95% CI] = -3.7 [-6.75, -0.57], Cohen's d effect size = 0.42, p = 0.0205). A significantly greater percentage of cariprazine-treated participants were CGI-C Irritability responders at week 8 than placebo (68.9% vs. 38.0%, odds ratio [95% CI] = 3.6 [1.7, 7.8], p = 0.0012). Overall, 51% of participants had TEAEs (1.3% had severe TEAEs); most commonly, somnolence and headache. TEAEs, laboratory values, and vital signs were consistent with cariprazine's known adult safety profile. Pediatric patients with ASD treated with cariprazine demonstrated significantly greater improvement in irritability than placebo.</t>
        </is>
      </c>
    </row>
    <row r="19">
      <c r="A19" t="inlineStr">
        <is>
          <t xml:space="preserve">2026-10-22</t>
        </is>
      </c>
      <c r="B19" t="inlineStr">
        <is>
          <t xml:space="preserve">2026-10-24</t>
        </is>
      </c>
      <c r="C19" t="inlineStr">
        <is>
          <t xml:space="preserve">Parenteau CI</t>
        </is>
      </c>
      <c r="D19" t="inlineStr">
        <is>
          <t xml:space="preserve">Lerner MD</t>
        </is>
      </c>
      <c r="E19" t="inlineStr">
        <is>
          <t xml:space="preserve">Parenteau CI, Nahmias AS, Lerner MD</t>
        </is>
      </c>
      <c r="F19" t="inlineStr">
        <is>
          <t xml:space="preserve">Journal of Autism and Developmental Disorders</t>
        </is>
      </c>
      <c r="G19" t="inlineStr">
        <is>
          <t xml:space="preserve">3.2</t>
        </is>
      </c>
      <c r="H19" t="inlineStr">
        <is>
          <t xml:space="preserve">JCR impact factor</t>
        </is>
      </c>
      <c r="I19" t="inlineStr">
        <is>
          <t xml:space="preserve">301</t>
        </is>
      </c>
      <c r="J19" t="inlineStr">
        <is>
          <t xml:space="preserve">Intervention &amp; Clinical</t>
        </is>
      </c>
      <c r="K19" t="inlineStr">
        <is>
          <t xml:space="preserve"/>
        </is>
      </c>
      <c r="L19" t="inlineStr">
        <is>
          <t xml:space="preserve">Clinical trial</t>
        </is>
      </c>
      <c r="M19" t="inlineStr">
        <is>
          <t xml:space="preserve"/>
        </is>
      </c>
      <c r="N19" t="inlineStr">
        <is>
          <t xml:space="preserve">Interventions &amp; supports, Trials &amp; outcomes</t>
        </is>
      </c>
      <c r="O19" t="inlineStr">
        <is>
          <t xml:space="preserve">0</t>
        </is>
      </c>
      <c r="P19" t="inlineStr">
        <is>
          <t xml:space="preserve"/>
        </is>
      </c>
      <c r="Q19" t="inlineStr">
        <is>
          <t xml:space="preserve">42911480</t>
        </is>
      </c>
      <c r="R19" s="3" t="str">
        <f>HYPERLINK("https://doi.org/10.1007/s10803-026-07574-z","10.1007/s10803-026-07574-z")</f>
        <v>10.1007/s10803-026-07574-z</v>
      </c>
      <c r="S19" s="3" t="str">
        <f>HYPERLINK("https://link.springer.com/content/pdf/10.1007/s10803-026-07574-z.pdf","open access")</f>
        <v>open access</v>
      </c>
      <c r="T19" t="inlineStr">
        <is>
          <t xml:space="preserve">Feasibility, Acceptability, and Efficacy of an Ecological Momentary Intervention for Autistic Adults.</t>
        </is>
      </c>
      <c r="U19" s="3" t="str">
        <f>HYPERLINK("https://pubmed.ncbi.nlm.nih.gov/42911480/","https://pubmed.ncbi.nlm.nih.gov/42911480/")</f>
        <v>https://pubmed.ncbi.nlm.nih.gov/42911480/</v>
      </c>
      <c r="V19" t="inlineStr">
        <is>
          <t xml:space="preserve">Many autistic adults experience limited access to scalable social-emotional supports, underscoring the need for low-intensity interventions that can be integrated into daily life. This study evaluated the feasibility, acceptability, and preliminary efficacy of a one-week ecological momentary intervention (EMI) designed to enhance social attention and social-emotional functioning through in vivo real-time reporting of social interactions. Thirty-one autistic adults were randomized to one of three conditions (facial expression, hair color, or passive control) and completed an EMI protocol and pre- and post-intervention measures. Feasibility outcomes were mixed: retention was high, but self-reported adherence fell below the a priori 80% benchmark, and utilization varied considerably. Equivalence tests indicated no condition differences in utilization, adherence, or acceptability. Net acceptability did not meet the a priori threshold of more than 50% of participants reporting neutral or positive net acceptability. Regression analyses revealed no condition-related effects on behavioral, self-report, or neural outcomes. Overall, results suggested that the EMI achieved high retention, but did not meet the a priori thresholds of adequacy for adherence and acceptability, and did not produce detectable changes in social-emotional functioning. Refinements to EMI design and dose may be necessary to improve the potential impact of brief EMIs for autistic adults.</t>
        </is>
      </c>
    </row>
    <row r="20">
      <c r="A20" t="inlineStr">
        <is>
          <t xml:space="preserve">2026-10-22</t>
        </is>
      </c>
      <c r="B20" t="inlineStr">
        <is>
          <t xml:space="preserve">2026-10-24</t>
        </is>
      </c>
      <c r="C20" t="inlineStr">
        <is>
          <t xml:space="preserve">Robinette LM</t>
        </is>
      </c>
      <c r="D20" t="inlineStr">
        <is>
          <t xml:space="preserve">Keim SA</t>
        </is>
      </c>
      <c r="E20" t="inlineStr">
        <is>
          <t xml:space="preserve">Robinette LM, Taylor HG, Boone KM, et al.</t>
        </is>
      </c>
      <c r="F20" t="inlineStr">
        <is>
          <t xml:space="preserve">Journal of Autism and Developmental Disorders</t>
        </is>
      </c>
      <c r="G20" t="inlineStr">
        <is>
          <t xml:space="preserve">3.2</t>
        </is>
      </c>
      <c r="H20" t="inlineStr">
        <is>
          <t xml:space="preserve">JCR impact factor</t>
        </is>
      </c>
      <c r="I20" t="inlineStr">
        <is>
          <t xml:space="preserve">301</t>
        </is>
      </c>
      <c r="J20" t="inlineStr">
        <is>
          <t xml:space="preserve">Intervention &amp; Clinical</t>
        </is>
      </c>
      <c r="K20" t="inlineStr">
        <is>
          <t xml:space="preserve"/>
        </is>
      </c>
      <c r="L20" t="inlineStr">
        <is>
          <t xml:space="preserve">Clinical trial</t>
        </is>
      </c>
      <c r="M20" t="inlineStr">
        <is>
          <t xml:space="preserve"/>
        </is>
      </c>
      <c r="N20" t="inlineStr">
        <is>
          <t xml:space="preserve">Trials &amp; outcomes, Cognition &amp; executive function, Prenatal &amp; maternal factors</t>
        </is>
      </c>
      <c r="O20" t="inlineStr">
        <is>
          <t xml:space="preserve">0</t>
        </is>
      </c>
      <c r="P20" t="inlineStr">
        <is>
          <t xml:space="preserve"/>
        </is>
      </c>
      <c r="Q20" t="inlineStr">
        <is>
          <t xml:space="preserve">42911477</t>
        </is>
      </c>
      <c r="R20" s="3" t="str">
        <f>HYPERLINK("https://doi.org/10.1007/s10803-026-07566-z","10.1007/s10803-026-07566-z")</f>
        <v>10.1007/s10803-026-07566-z</v>
      </c>
      <c r="S20" s="3" t="str">
        <f>HYPERLINK("https://link.springer.com/content/pdf/10.1007/s10803-026-07566-z.pdf","open access")</f>
        <v>open access</v>
      </c>
      <c r="T20" t="inlineStr">
        <is>
          <t xml:space="preserve">Fatty Acid Supplementation in Toddlers Born Preterm and Attention and Autism Outcomes at 8-10 Years: Omega Tots Randomized Controlled Trial Long-Term Follow-Up.</t>
        </is>
      </c>
      <c r="U20" s="3" t="str">
        <f>HYPERLINK("https://pubmed.ncbi.nlm.nih.gov/42911477/","https://pubmed.ncbi.nlm.nih.gov/42911477/")</f>
        <v>https://pubmed.ncbi.nlm.nih.gov/42911477/</v>
      </c>
      <c r="V20" t="inlineStr">
        <is>
          <t xml:space="preserve">Children born preterm are at increased likelihood of autism spectrum disorder (ASD) and attention-deficit/hyperactivity disorder (ADHD). We examined whether 6 months of daily dietary docosahexaenoic acid (DHA) + arachidonic acid (AA) supplementation at age 1-year reduced attention problems and likelihood of ADHD and ASD diagnoses in children born preterm. In the Omega Tots randomized placebo-controlled trial, children born at &lt;35 weeks' gestation received daily DHA (200 mg) + AA (200 mg) or placebo (400 mg corn oil) at 10-16 months' corrected age. This long-term follow-up assessed outcomes at 8.5-10.5 years. Outcomes included parent- and teacher-rated attention problems, performance on the Flanker Inhibitory Control and Attention Test (continuous performance task), and medical record diagnoses of ASD and ADHD. Mixed linear and log-binomial regression models estimated treatment effects. Subgroup analyses examined effects by sex, birthweight, family income, dietary omega-3 intake, and blood omega-3 status. At least 1 outcome measure was available for all 376 children eligible for follow-up. Flanker scores were higher (better) for the DHA+AA group (difference=3.02; 95% CI=0.01, 6.04), particularly among children with lower dietary omega-3 intake (difference=4.88; 95% CI=0.53, 9.23). DHA+AA was associated with fewer teacher-rated attention problems among children with birthweight&gt;1500g (difference=-2.97; 95% CI=-5.38, -0.55). No group differences were found in likelihood of autism and ADHD diagnoses. DHA+AA supplementation was associated with modest improvements in attention, particularly among specific subgroups, supporting further investigation of targeted, personalized nutrition approaches. There was no association between supplementation and likelihood of ADHD and autism. ClinicalTrials.gov Identifier: NCT05191823.</t>
        </is>
      </c>
    </row>
    <row r="21">
      <c r="A21" t="inlineStr">
        <is>
          <t xml:space="preserve">2026-10-16</t>
        </is>
      </c>
      <c r="B21" t="inlineStr">
        <is>
          <t xml:space="preserve">2026-10-24</t>
        </is>
      </c>
      <c r="C21" t="inlineStr">
        <is>
          <t xml:space="preserve">Ren C</t>
        </is>
      </c>
      <c r="D21" t="inlineStr">
        <is>
          <t xml:space="preserve">Peng K</t>
        </is>
      </c>
      <c r="E21" t="inlineStr">
        <is>
          <t xml:space="preserve">Ren C, Zhang Q, Liang X, et al.</t>
        </is>
      </c>
      <c r="F21" t="inlineStr">
        <is>
          <t xml:space="preserve">Autism Research</t>
        </is>
      </c>
      <c r="G21" t="inlineStr">
        <is>
          <t xml:space="preserve">5.2</t>
        </is>
      </c>
      <c r="H21" t="inlineStr">
        <is>
          <t xml:space="preserve">JCR impact factor</t>
        </is>
      </c>
      <c r="I21" t="inlineStr">
        <is>
          <t xml:space="preserve">133</t>
        </is>
      </c>
      <c r="J21" t="inlineStr">
        <is>
          <t xml:space="preserve">Intervention &amp; Clinical</t>
        </is>
      </c>
      <c r="K21" t="inlineStr">
        <is>
          <t xml:space="preserve"/>
        </is>
      </c>
      <c r="L21" t="inlineStr">
        <is>
          <t xml:space="preserve">Unclassified</t>
        </is>
      </c>
      <c r="M21" t="inlineStr">
        <is>
          <t xml:space="preserve"/>
        </is>
      </c>
      <c r="N21" t="inlineStr">
        <is>
          <t xml:space="preserve">Screening &amp; diagnosis, Cognition &amp; executive function, Sensory &amp; perception, Brain regions &amp; circuits</t>
        </is>
      </c>
      <c r="O21" t="inlineStr">
        <is>
          <t xml:space="preserve">0</t>
        </is>
      </c>
      <c r="P21" t="inlineStr">
        <is>
          <t xml:space="preserve"/>
        </is>
      </c>
      <c r="Q21" t="inlineStr">
        <is>
          <t xml:space="preserve">42885320</t>
        </is>
      </c>
      <c r="R21" s="3" t="str">
        <f>HYPERLINK("https://doi.org/10.1002/aur.70381","10.1002/aur.70381")</f>
        <v>10.1002/aur.70381</v>
      </c>
      <c r="S21" s="3" t="str">
        <f>HYPERLINK("https://onlinelibrary.wiley.com/doi/pdfdirect/10.1002/aur.70381","open access")</f>
        <v>open access</v>
      </c>
      <c r="T21" t="inlineStr">
        <is>
          <t xml:space="preserve">Establishing Diagnosis Models for Autism Spectrum Disorder With Auditory Brainstem Response Using Machine Learning Methods.</t>
        </is>
      </c>
      <c r="U21" s="3" t="str">
        <f>HYPERLINK("https://pubmed.ncbi.nlm.nih.gov/42885320/","https://pubmed.ncbi.nlm.nih.gov/42885320/")</f>
        <v>https://pubmed.ncbi.nlm.nih.gov/42885320/</v>
      </c>
      <c r="V21" t="inlineStr">
        <is>
          <t xml:space="preserve">This study aimed to develop and validate models built using machine learning methods for the diagnosis of autism spectrum disorder (ASD). A total of 851 children with suspected ASD were enrolled. Related features were acquired using the Autism Behavior Checklist and Auditory Brainstem Response (ABR) outcomes. The Shapley additive explanation (SHAP) values were used to explain the feature impact used in the models with the best performance. In addition, different methods were used to depict group differences. Our study found that significant results in ABR outcomes among children with different phenotypes mainly depend on stimulation intensity. The predominant finding is that signal conduction from the cochlear nerve to the inferior colliculus in children with ASD may be associated with autistic behaviors in a way that displays region-specific (e.g., cochlear nerve, olivary) and intensity-dependent (e.g., 45, 65 dB) complexity. The XGBoost models outperformed the other candidates, with the highest prediction accuracy (85.9%) and AUROC (0.779). Wave III and V were identified as the features with largest impact. These findings highlight atypical ABR patterns in ASD and their association with autistic behaviors, contributing to the growing literature on understanding alterations in bioelectrical performance in children with ASD.</t>
        </is>
      </c>
    </row>
    <row r="22">
      <c r="A22" t="inlineStr">
        <is>
          <t xml:space="preserve">2026-10-15</t>
        </is>
      </c>
      <c r="B22" t="inlineStr">
        <is>
          <t xml:space="preserve">2026-10-24</t>
        </is>
      </c>
      <c r="C22" t="inlineStr">
        <is>
          <t xml:space="preserve">Johnson N</t>
        </is>
      </c>
      <c r="D22" t="inlineStr">
        <is>
          <t xml:space="preserve">Koth K</t>
        </is>
      </c>
      <c r="E22" t="inlineStr">
        <is>
          <t xml:space="preserve">Johnson N, Van Hecke A, Hine J, et al.</t>
        </is>
      </c>
      <c r="F22" t="inlineStr">
        <is>
          <t xml:space="preserve">Journal of Autism and Developmental Disorders</t>
        </is>
      </c>
      <c r="G22" t="inlineStr">
        <is>
          <t xml:space="preserve">3.2</t>
        </is>
      </c>
      <c r="H22" t="inlineStr">
        <is>
          <t xml:space="preserve">JCR impact factor</t>
        </is>
      </c>
      <c r="I22" t="inlineStr">
        <is>
          <t xml:space="preserve">301</t>
        </is>
      </c>
      <c r="J22" t="inlineStr">
        <is>
          <t xml:space="preserve">Intervention &amp; Clinical</t>
        </is>
      </c>
      <c r="K22" t="inlineStr">
        <is>
          <t xml:space="preserve"/>
        </is>
      </c>
      <c r="L22" t="inlineStr">
        <is>
          <t xml:space="preserve">Clinical observation</t>
        </is>
      </c>
      <c r="M22" t="inlineStr">
        <is>
          <t xml:space="preserve"/>
        </is>
      </c>
      <c r="N22" t="inlineStr">
        <is>
          <t xml:space="preserve">Interventions &amp; supports, Screening &amp; diagnosis</t>
        </is>
      </c>
      <c r="O22" t="inlineStr">
        <is>
          <t xml:space="preserve">0</t>
        </is>
      </c>
      <c r="P22" t="inlineStr">
        <is>
          <t xml:space="preserve"/>
        </is>
      </c>
      <c r="Q22" t="inlineStr">
        <is>
          <t xml:space="preserve">42879056</t>
        </is>
      </c>
      <c r="R22" s="3" t="str">
        <f>HYPERLINK("https://doi.org/10.1007/s10803-026-07565-0","10.1007/s10803-026-07565-0")</f>
        <v>10.1007/s10803-026-07565-0</v>
      </c>
      <c r="S22" t="inlineStr">
        <is>
          <t xml:space="preserve"/>
        </is>
      </c>
      <c r="T22" t="inlineStr">
        <is>
          <t xml:space="preserve">Battling the Bottleneck: Evaluating Autism Diagnostic Training in Primary Care.</t>
        </is>
      </c>
      <c r="U22" s="3" t="str">
        <f>HYPERLINK("https://pubmed.ncbi.nlm.nih.gov/42879056/","https://pubmed.ncbi.nlm.nih.gov/42879056/")</f>
        <v>https://pubmed.ncbi.nlm.nih.gov/42879056/</v>
      </c>
      <c r="V22" t="inlineStr">
        <is>
          <t xml:space="preserve">The study purpose was to implement and evaluate the STAT™ (Screening Tool for Autism in Toddlers &amp; Young Children 24-36 months old) for primary care providers (PCPs) in a Wisconsin, USA, cohort. It examined the impacts of the training and learning community on knowledge, attitudes, and change in self-reported provider confidence in autism diagnosis. This study evaluated the implementation of a developmental assessment training program, for PCPs, using the STAT, followed by a year-long autism learning community involving monthly case-based discussions and knowledge exchange. English-speaking PCPs were assessed pre- and post-training on knowledge, screening and diagnostic practices, attitudes toward autism diagnosis in primary care, and comfort with autism identification and management. Descriptive statistics summarized baseline characteristics and practices. Paired-samples t-tests were used to evaluate pre- to post-training changes in provider comfort. Baseline findings (n=23) PCPs indicated limited use of autism-specific screening and diagnostic tools among PCPs. Among PCPs with matched pre- and post-training data (n = 11), significant improvements were observed across multiple domains of provider comfort identifying autism risk, distinguishing autism from other developmental conditions, making formal diagnoses, and providing diagnostic feedback. Improvements in care coordination domains, such as referral practices and mental health service linkage, were more limited. STAT training was associated with meaningful improvements in provider confidence, particularly in autism identification and diagnostic decision-making within primary care settings. Training PCPs to diagnose autism in young children with obvious signs, has the potential to reduce diagnostic delays and improve access to early intervention.</t>
        </is>
      </c>
    </row>
    <row r="23">
      <c r="A23" t="inlineStr">
        <is>
          <t xml:space="preserve">2026-10-17</t>
        </is>
      </c>
      <c r="B23" t="inlineStr">
        <is>
          <t xml:space="preserve">2026-10-24</t>
        </is>
      </c>
      <c r="C23" t="inlineStr">
        <is>
          <t xml:space="preserve">Chau KH</t>
        </is>
      </c>
      <c r="D23" t="inlineStr">
        <is>
          <t xml:space="preserve">LaSalle JM</t>
        </is>
      </c>
      <c r="E23" t="inlineStr">
        <is>
          <t xml:space="preserve">Chau KH, LaSalle JM</t>
        </is>
      </c>
      <c r="F23" t="inlineStr">
        <is>
          <t xml:space="preserve">Current topics in behavioral neurosciences</t>
        </is>
      </c>
      <c r="G23" t="inlineStr">
        <is>
          <t xml:space="preserve"/>
        </is>
      </c>
      <c r="H23" t="inlineStr">
        <is>
          <t xml:space="preserve"/>
        </is>
      </c>
      <c r="I23" t="inlineStr">
        <is>
          <t xml:space="preserve"/>
        </is>
      </c>
      <c r="J23" t="inlineStr">
        <is>
          <t xml:space="preserve">Genetics &amp; Molecular</t>
        </is>
      </c>
      <c r="K23" t="inlineStr">
        <is>
          <t xml:space="preserve"/>
        </is>
      </c>
      <c r="L23" t="inlineStr">
        <is>
          <t xml:space="preserve">Clinical observation</t>
        </is>
      </c>
      <c r="M23" t="inlineStr">
        <is>
          <t xml:space="preserve"/>
        </is>
      </c>
      <c r="N23" t="inlineStr">
        <is>
          <t xml:space="preserve"/>
        </is>
      </c>
      <c r="O23" t="inlineStr">
        <is>
          <t xml:space="preserve">0</t>
        </is>
      </c>
      <c r="P23" t="inlineStr">
        <is>
          <t xml:space="preserve"/>
        </is>
      </c>
      <c r="Q23" t="inlineStr">
        <is>
          <t xml:space="preserve">42888366</t>
        </is>
      </c>
      <c r="R23" s="3" t="str">
        <f>HYPERLINK("https://doi.org/10.1007/7854_2026_618","10.1007/7854_2026_618")</f>
        <v>10.1007/7854_2026_618</v>
      </c>
      <c r="S23" t="inlineStr">
        <is>
          <t xml:space="preserve"/>
        </is>
      </c>
      <c r="T23" t="inlineStr">
        <is>
          <t xml:space="preserve">Modifiers of Genetics in ASD Etiology.</t>
        </is>
      </c>
      <c r="U23" s="3" t="str">
        <f>HYPERLINK("https://pubmed.ncbi.nlm.nih.gov/42888366/","https://pubmed.ncbi.nlm.nih.gov/42888366/")</f>
        <v>https://pubmed.ncbi.nlm.nih.gov/42888366/</v>
      </c>
      <c r="V23" t="inlineStr">
        <is>
          <t xml:space="preserve">Autism spectrum disorder (ASD) is a complex and heterogeneous neurodevelopmental condition with a multifactorial genetic architecture, with risk arising from the interplay between genetic and environmental factors. Although there is a strong heritable component, identified genetic variants explain only a proportion of its susceptibility. Mutations in individual genes or copy number variants (CNVs) each account for less than 1% of cases, while collectively, rare de novo mutations and CNVs are estimated to contribute to approximately 20% of ASD cases. This incomplete explanation of ASD risk through identified genetic variants suggests that additional mechanisms, including gene by environment (G×E) interactions, may contribute to ASD risk.Epigenetic mechanisms, including DNA methylation, provide an intermediate molecular phenotype through which genetic susceptibility and environmental exposures converge to influence neurodevelopment. Furthermore, consideration of sex by environment (S×E) interactions may help elucidate sex-related differences in ASD prevalence and molecular phenotypes. This chapter synthesizes current evidence for epigenetic mechanisms underlying ASD, with a focus on how genetic susceptibility, prenatal environmental exposures, and biological sex may interact to shape epigenomic patterns relevant to neurodevelopment and ASD risk.</t>
        </is>
      </c>
    </row>
    <row r="24">
      <c r="A24" t="inlineStr">
        <is>
          <t xml:space="preserve">2026-10-13</t>
        </is>
      </c>
      <c r="B24" t="inlineStr">
        <is>
          <t xml:space="preserve">2026-10-24</t>
        </is>
      </c>
      <c r="C24" t="inlineStr">
        <is>
          <t xml:space="preserve">Sönmezler E</t>
        </is>
      </c>
      <c r="D24" t="inlineStr">
        <is>
          <t xml:space="preserve">Oktay Y</t>
        </is>
      </c>
      <c r="E24" t="inlineStr">
        <is>
          <t xml:space="preserve">Sönmezler E, Hız Kurul S, Erez O, et al.</t>
        </is>
      </c>
      <c r="F24" t="inlineStr">
        <is>
          <t xml:space="preserve">Human molecular genetics</t>
        </is>
      </c>
      <c r="G24" t="inlineStr">
        <is>
          <t xml:space="preserve">3.2</t>
        </is>
      </c>
      <c r="H24" t="inlineStr">
        <is>
          <t xml:space="preserve">OpenAlex 2-yr citedness</t>
        </is>
      </c>
      <c r="I24" t="inlineStr">
        <is>
          <t xml:space="preserve">357</t>
        </is>
      </c>
      <c r="J24" t="inlineStr">
        <is>
          <t xml:space="preserve">Genetics &amp; Molecular</t>
        </is>
      </c>
      <c r="K24" t="inlineStr">
        <is>
          <t xml:space="preserve"/>
        </is>
      </c>
      <c r="L24" t="inlineStr">
        <is>
          <t xml:space="preserve">Bench-to-bedside</t>
        </is>
      </c>
      <c r="M24" t="inlineStr">
        <is>
          <t xml:space="preserve"/>
        </is>
      </c>
      <c r="N24" t="inlineStr">
        <is>
          <t xml:space="preserve">Animal models, Sequencing &amp; rare variants, iPSC, organoids &amp; stem cells</t>
        </is>
      </c>
      <c r="O24" t="inlineStr">
        <is>
          <t xml:space="preserve">0</t>
        </is>
      </c>
      <c r="P24" t="inlineStr">
        <is>
          <t xml:space="preserve"/>
        </is>
      </c>
      <c r="Q24" t="inlineStr">
        <is>
          <t xml:space="preserve">42905887</t>
        </is>
      </c>
      <c r="R24" s="3" t="str">
        <f>HYPERLINK("https://doi.org/10.1093/hmg/ddag102","10.1093/hmg/ddag102")</f>
        <v>10.1093/hmg/ddag102</v>
      </c>
      <c r="S24" s="3" t="str">
        <f>HYPERLINK("https://academic.oup.com/hmg/article-pdf/35/21/ddag102/72257724/ddag102.pdf","open access")</f>
        <v>open access</v>
      </c>
      <c r="T24" t="inlineStr">
        <is>
          <t xml:space="preserve">KATNAL2 dysfunction impairs microtubule dynamics and contributes to syndromic neurodevelopmental disease.</t>
        </is>
      </c>
      <c r="U24" s="3" t="str">
        <f>HYPERLINK("https://pubmed.ncbi.nlm.nih.gov/42905887/","https://pubmed.ncbi.nlm.nih.gov/42905887/")</f>
        <v>https://pubmed.ncbi.nlm.nih.gov/42905887/</v>
      </c>
      <c r="V24" t="inlineStr">
        <is>
          <t xml:space="preserve">Katanins are microtubule-severing ATPases. Dysfunction of katanin subunits has been implicated in impaired neurogenesis, morphogenesis, and neuronal migration. Although heterozygous variants in KATNAL2 (katanin-like 2), a known autism-spectrum disorder (ASD) risk gene, have been reported in patients with ASD or other neurodevelopmental disorders (NDD), the underlying cellular mechanisms remain incompletely defined. Whole-exome sequencing (WES) identified a homozygous missense variant in KATNAL2 (NM_001387690.1:c.1390T&gt;C; p.(Ser464Pro)) in a pediatric patient presenting with severe global developmental delay, intellectual disability, infantile-onset epilepsy, and autistic features, extending the phenotypic spectrum beyond prior autism-focused associations. To elucidate the cellular mechanisms underlying KATNAL2 dysfunction, we established induced pluripotent stem cells (iPSCs) from patient fibroblasts and differentiated them into neural progenitor cells (NPCs) for quantitative immunofluorescence analyses of microtubule organization, microtubule regulatory proteins, and transcriptome profiling. In parallel, we generated CRISPR/Cas9 katnal2 zebrafish crispants and assessed body patterning and axonal projections using the transgenic nbt:dsRed line. Patient iPSC-derived NPCs showed impaired interphase microtubule network organization with increased angular standard deviation in directionality and mitotic/cytokinetic abnormalities, including abnormal positioning of the microtubule-rich cytokinetic midbody region. In vivo, CRISPR/Cas9 katnal2 zebrafish crispants showed abnormal body patterning together with disorganized motor neuron and posterior lateral line nerve axonal projections. Together, these findings support KATNAL2 as a regulator of microtubule network organization and mitotic progression in human NPCs. Our data from patient-derived NPCs and a zebrafish model provide functional evidence linking the p.(Ser464Pro) variant to an expanded syndromic neurodevelopmental phenotype.</t>
        </is>
      </c>
    </row>
    <row r="25">
      <c r="A25" t="inlineStr">
        <is>
          <t xml:space="preserve">2026-10-14</t>
        </is>
      </c>
      <c r="B25" t="inlineStr">
        <is>
          <t xml:space="preserve">2026-10-24</t>
        </is>
      </c>
      <c r="C25" t="inlineStr">
        <is>
          <t xml:space="preserve">Popov TN</t>
        </is>
      </c>
      <c r="D25" t="inlineStr">
        <is>
          <t xml:space="preserve">Vachev TI</t>
        </is>
      </c>
      <c r="E25" t="inlineStr">
        <is>
          <t xml:space="preserve">Popov TN, Minchev SD, Vachev TI</t>
        </is>
      </c>
      <c r="F25" t="inlineStr">
        <is>
          <t xml:space="preserve">Balkan journal of medical genetics : BJMG</t>
        </is>
      </c>
      <c r="G25" t="inlineStr">
        <is>
          <t xml:space="preserve">0.6</t>
        </is>
      </c>
      <c r="H25" t="inlineStr">
        <is>
          <t xml:space="preserve">OpenAlex 2-yr citedness</t>
        </is>
      </c>
      <c r="I25" t="inlineStr">
        <is>
          <t xml:space="preserve">23</t>
        </is>
      </c>
      <c r="J25" t="inlineStr">
        <is>
          <t xml:space="preserve">Genetics &amp; Molecular</t>
        </is>
      </c>
      <c r="K25" t="inlineStr">
        <is>
          <t xml:space="preserve"/>
        </is>
      </c>
      <c r="L25" t="inlineStr">
        <is>
          <t xml:space="preserve">Bench-to-bedside</t>
        </is>
      </c>
      <c r="M25" t="inlineStr">
        <is>
          <t xml:space="preserve"/>
        </is>
      </c>
      <c r="N25" t="inlineStr">
        <is>
          <t xml:space="preserve">Biomarkers &amp; blood markers</t>
        </is>
      </c>
      <c r="O25" t="inlineStr">
        <is>
          <t xml:space="preserve">0</t>
        </is>
      </c>
      <c r="P25" t="inlineStr">
        <is>
          <t xml:space="preserve"/>
        </is>
      </c>
      <c r="Q25" t="inlineStr">
        <is>
          <t xml:space="preserve">42877398</t>
        </is>
      </c>
      <c r="R25" s="3" t="str">
        <f>HYPERLINK("https://doi.org/10.2478/bjmg-2026-0009","10.2478/bjmg-2026-0009")</f>
        <v>10.2478/bjmg-2026-0009</v>
      </c>
      <c r="S25" s="3" t="str">
        <f>HYPERLINK("https://reference-global.com/download/article/10.2478/bjmg-2026-0009.pdf","open access")</f>
        <v>open access</v>
      </c>
      <c r="T25" t="inlineStr">
        <is>
          <t xml:space="preserve">Identification of Peripheral Blood mIR-128-3p Molecular Signature in Children with Autism Spectrum Disorder.</t>
        </is>
      </c>
      <c r="U25" s="3" t="str">
        <f>HYPERLINK("https://pubmed.ncbi.nlm.nih.gov/42877398/","https://pubmed.ncbi.nlm.nih.gov/42877398/")</f>
        <v>https://pubmed.ncbi.nlm.nih.gov/42877398/</v>
      </c>
      <c r="V25" t="inlineStr">
        <is>
          <t xml:space="preserve">MicroRNAs (miRNAs) are key post-transcriptional regulators of gene expression. Given the dynamic nature of the peripheral blood transcriptome, profiling circulating miRNAs in autism spectrum disorder (ASD) represents a promising strategy for identifying novel disease-associated biomarkers. Large-scale miRNA expression profiling was performed using the μParaflo™ miRNA microarray assay on pooled RNA samples from 23 individuals with ASD and 21 healthy controls. Differential expression analysis (p &lt; 0.05) identified several dysregulated miRNAs in peripheral blood, including miR-128-3p. Microarray findings for miR-128-3p were validated by quantitative reverse transcription PCR (qRT-PCR), which confirmed its significant downregulation in the ASD group. Target gene analysis using miRWalk indicated that miR-128-3p exerts multilevel regulatory effects across diverse biological processes. Notably, predicted and validated targets included genes involved in neuronal development (e.g., PTEN) and epigenetic regulation (e.g., DNMT1, RNASEN, DICER, and EIF2C2). Receiver operating characteristic (ROC) curve analysis demonstrated significant diagnostic potential of miR-128-3p for ASD. Collectively, these findings support an integrative model of ASD as a heterogeneous neurodevelopmental disorder in which specific miRNAs, such as miR-128-3p, contribute to disease pathogenesis through modulation of gene expression networks.</t>
        </is>
      </c>
    </row>
    <row r="26">
      <c r="A26" t="inlineStr">
        <is>
          <t xml:space="preserve">2026-07-21</t>
        </is>
      </c>
      <c r="B26" t="inlineStr">
        <is>
          <t xml:space="preserve">2026-10-24</t>
        </is>
      </c>
      <c r="C26" t="inlineStr">
        <is>
          <t xml:space="preserve">Elangovan A</t>
        </is>
      </c>
      <c r="D26" t="inlineStr">
        <is>
          <t xml:space="preserve">Vellingiri B</t>
        </is>
      </c>
      <c r="E26" t="inlineStr">
        <is>
          <t xml:space="preserve">Elangovan A, Roy A, Karuppusamy PA, et al.</t>
        </is>
      </c>
      <c r="F26" t="inlineStr">
        <is>
          <t xml:space="preserve">Behavioural brain research</t>
        </is>
      </c>
      <c r="G26" t="inlineStr">
        <is>
          <t xml:space="preserve">3.0</t>
        </is>
      </c>
      <c r="H26" t="inlineStr">
        <is>
          <t xml:space="preserve">OpenAlex 2-yr citedness</t>
        </is>
      </c>
      <c r="I26" t="inlineStr">
        <is>
          <t xml:space="preserve">252</t>
        </is>
      </c>
      <c r="J26" t="inlineStr">
        <is>
          <t xml:space="preserve">Genetics &amp; Molecular</t>
        </is>
      </c>
      <c r="K26" t="inlineStr">
        <is>
          <t xml:space="preserve"/>
        </is>
      </c>
      <c r="L26" t="inlineStr">
        <is>
          <t xml:space="preserve">Review / synthesis</t>
        </is>
      </c>
      <c r="M26" t="inlineStr">
        <is>
          <t xml:space="preserve"/>
        </is>
      </c>
      <c r="N26" t="inlineStr">
        <is>
          <t xml:space="preserve">Interventions &amp; supports, Lived experience &amp; qualitative, Epigenetics, Transcriptomics &amp; proteomics, Biomarkers &amp; blood markers</t>
        </is>
      </c>
      <c r="O26" t="inlineStr">
        <is>
          <t xml:space="preserve">0</t>
        </is>
      </c>
      <c r="P26" t="inlineStr">
        <is>
          <t xml:space="preserve"/>
        </is>
      </c>
      <c r="Q26" t="inlineStr">
        <is>
          <t xml:space="preserve">42480870</t>
        </is>
      </c>
      <c r="R26" s="3" t="str">
        <f>HYPERLINK("https://doi.org/10.1016/j.bbr.2026.116379","10.1016/j.bbr.2026.116379")</f>
        <v>10.1016/j.bbr.2026.116379</v>
      </c>
      <c r="S26" t="inlineStr">
        <is>
          <t xml:space="preserve"/>
        </is>
      </c>
      <c r="T26" t="inlineStr">
        <is>
          <t xml:space="preserve">Non-coding RNA dysregulation in autism spectrum disorder: Mechanisms, biomarkers, and therapeutic perspectives.</t>
        </is>
      </c>
      <c r="U26" s="3" t="str">
        <f>HYPERLINK("https://pubmed.ncbi.nlm.nih.gov/42480870/","https://pubmed.ncbi.nlm.nih.gov/42480870/")</f>
        <v>https://pubmed.ncbi.nlm.nih.gov/42480870/</v>
      </c>
      <c r="V26" t="inlineStr">
        <is>
          <t xml:space="preserve">Autism Spectrum Disorder (ASD) is a neurodevelopmental disorder characterized by repetitive behaviors, impaired eye contact, restricted interests, and deficits in communication. For many years, the identification and diagnosis of ASD have relied primarily on behavioral assessments, while no definitive molecular biomarker has yet been established. Non-coding RNAs (ncRNAs), including microRNAs (miRNAs), long non-coding RNAs (lncRNAs), circular RNAs (circRNAs), and Piwi-interacting RNAs (piRNAs), directly and indirectly regulate gene expression and contribute to the pathophysiology of various diseases and disorders. Recent studies have highlighted the crucial role of ncRNAs in neuronal development and function, suggesting that aberrant ncRNA (Non-Coding RNA) expression may lead to neuronal dysregulation and neurodevelopmental disorders. In ASD, several miRNAs and lncRNAs have been reported to be dysregulated in cell lines, brain tissues, and peripheral blood samples derived from patients. Through competitive endogenous RNA network interactions between miRNAs, lncRNAs, and messenger RNAs (mRNAs), complex regulatory networks are formed that may influence ASD pathophysiology. Dysregulation of miRNAs and lncRNAs may also affect key neuronal receptors such as N-methyl-D-aspartate receptors (NMDARs), which play essential roles in synaptic plasticity, calcium permeability, and voltage-dependent signaling. Several miRNAs have been reported to regulate ASD-associated genes such as SHANK3, SYNGAP1, and CHD8 in experimental systems, suggesting their potential involvement in molecular pathways relevant to ASD. Although these ncRNAs show promise as potential biomarkers, their clinical utility will depend on replication across larger, multi-center cohorts and the establishment of standardized methodologies.</t>
        </is>
      </c>
    </row>
    <row r="27">
      <c r="A27" t="inlineStr">
        <is>
          <t xml:space="preserve">2026-10-20</t>
        </is>
      </c>
      <c r="B27" t="inlineStr">
        <is>
          <t xml:space="preserve">2026-10-24</t>
        </is>
      </c>
      <c r="C27" t="inlineStr">
        <is>
          <t xml:space="preserve">Aldurayhim F</t>
        </is>
      </c>
      <c r="D27" t="inlineStr">
        <is>
          <t xml:space="preserve">Pringsheim T</t>
        </is>
      </c>
      <c r="E27" t="inlineStr">
        <is>
          <t xml:space="preserve">Aldurayhim F, Martino D, Sarna JR, et al.</t>
        </is>
      </c>
      <c r="F27" t="inlineStr">
        <is>
          <t xml:space="preserve">Movement disorders clinical practice</t>
        </is>
      </c>
      <c r="G27" t="inlineStr">
        <is>
          <t xml:space="preserve">2.0</t>
        </is>
      </c>
      <c r="H27" t="inlineStr">
        <is>
          <t xml:space="preserve">OpenAlex 2-yr citedness</t>
        </is>
      </c>
      <c r="I27" t="inlineStr">
        <is>
          <t xml:space="preserve">59</t>
        </is>
      </c>
      <c r="J27" t="inlineStr">
        <is>
          <t xml:space="preserve">Intervention &amp; Clinical</t>
        </is>
      </c>
      <c r="K27" t="inlineStr">
        <is>
          <t xml:space="preserve"/>
        </is>
      </c>
      <c r="L27" t="inlineStr">
        <is>
          <t xml:space="preserve">Clinical observation</t>
        </is>
      </c>
      <c r="M27" t="inlineStr">
        <is>
          <t xml:space="preserve"/>
        </is>
      </c>
      <c r="N27" t="inlineStr">
        <is>
          <t xml:space="preserve">Interventions &amp; supports</t>
        </is>
      </c>
      <c r="O27" t="inlineStr">
        <is>
          <t xml:space="preserve">0</t>
        </is>
      </c>
      <c r="P27" t="inlineStr">
        <is>
          <t xml:space="preserve"/>
        </is>
      </c>
      <c r="Q27" t="inlineStr">
        <is>
          <t xml:space="preserve">42902960</t>
        </is>
      </c>
      <c r="R27" s="3" t="str">
        <f>HYPERLINK("https://doi.org/10.1002/mdc3.70882","10.1002/mdc3.70882")</f>
        <v>10.1002/mdc3.70882</v>
      </c>
      <c r="S27" s="3" t="str">
        <f>HYPERLINK("https://onlinelibrary.wiley.com/doi/pdfdirect/10.1002/mdc3.70882","open access")</f>
        <v>open access</v>
      </c>
      <c r="T27" t="inlineStr">
        <is>
          <t xml:space="preserve">When Tics and Autism Meet: Phenomenology, Severity, and Treatment Patterns.</t>
        </is>
      </c>
      <c r="U27" s="3" t="str">
        <f>HYPERLINK("https://pubmed.ncbi.nlm.nih.gov/42902960/","https://pubmed.ncbi.nlm.nih.gov/42902960/")</f>
        <v>https://pubmed.ncbi.nlm.nih.gov/42902960/</v>
      </c>
      <c r="V27" t="inlineStr">
        <is>
          <t xml:space="preserve">Tic disorders frequently co-occur with neurodevelopmental conditions, including autism spectrum disorder (ASD). However, the impact of ASD on tic phenomenology, severity, and treatment patterns remains incompletely understood. To compare clinical characteristics, tic phenomenology, severity, and treatment patterns in individuals with tic disorders with and without comorbid ASD. We conducted a cross-sectional analysis of 535 participants from Calgary Child and Adult Tic Disorders Clinical Registries. Tic severity was assessed using the Yale Global Tic Severity Scale (YGTSS). Comorbidities, tic phenomenology, and pharmacological treatments were recorded. ASD and non-ASD groups were compared using t-tests and chi-square tests. Mean age at tic onset was 6.79 years; 73.3% were male, and 9.2% had ASD. ASD was associated with higher rates of complex motor (arm 20.4% vs 9.9%; hand 24.5% vs 13.9%) and vocal tics (phrases 12.2% vs 3.5%; palilalia 20.4% vs 8.3%; blocking/stuttering 16.3% vs 6.2%) compared with non-ASD participants (all P &lt; 0.05), with similar overall severity. ASD was also associated with higher rates of ADHD (81.6% vs 44.7%) and greater use of guanfacine, aripiprazole, risperidone, methylphenidate, and dextroamphetamine compared with non-ASD participants (all P &lt; 0.05). In multivariable analysis, ASD was independently associated with lower tic-related impairment (β = -4.49, 95% CI -8.46 to -0.51; P = 0.027). Comorbid ASD in tic disorders is associated with higher rates of complex motor and vocal tics, while severity is similar to non-ASD. Lower tic-related impairment may reflect communication differences. Comorbid symptoms influenced treatment supporting the need for individualized management.</t>
        </is>
      </c>
    </row>
    <row r="28">
      <c r="A28" t="inlineStr">
        <is>
          <t xml:space="preserve">2026-10-15</t>
        </is>
      </c>
      <c r="B28" t="inlineStr">
        <is>
          <t xml:space="preserve">2026-10-24</t>
        </is>
      </c>
      <c r="C28" t="inlineStr">
        <is>
          <t xml:space="preserve">Roychowdhury B</t>
        </is>
      </c>
      <c r="D28" t="inlineStr">
        <is>
          <t xml:space="preserve">Santhosh VN</t>
        </is>
      </c>
      <c r="E28" t="inlineStr">
        <is>
          <t xml:space="preserve">Roychowdhury B, Jalihal S, Ankola AV, et al.</t>
        </is>
      </c>
      <c r="F28" t="inlineStr">
        <is>
          <t xml:space="preserve">Journal of the American Dental Association (1939)</t>
        </is>
      </c>
      <c r="G28" t="inlineStr">
        <is>
          <t xml:space="preserve">1.5</t>
        </is>
      </c>
      <c r="H28" t="inlineStr">
        <is>
          <t xml:space="preserve">OpenAlex 2-yr citedness</t>
        </is>
      </c>
      <c r="I28" t="inlineStr">
        <is>
          <t xml:space="preserve">212</t>
        </is>
      </c>
      <c r="J28" t="inlineStr">
        <is>
          <t xml:space="preserve">Intervention &amp; Clinical</t>
        </is>
      </c>
      <c r="K28" t="inlineStr">
        <is>
          <t xml:space="preserve"/>
        </is>
      </c>
      <c r="L28" t="inlineStr">
        <is>
          <t xml:space="preserve">Clinical trial</t>
        </is>
      </c>
      <c r="M28" t="inlineStr">
        <is>
          <t xml:space="preserve"/>
        </is>
      </c>
      <c r="N28" t="inlineStr">
        <is>
          <t xml:space="preserve">Trials &amp; outcomes</t>
        </is>
      </c>
      <c r="O28" t="inlineStr">
        <is>
          <t xml:space="preserve">0</t>
        </is>
      </c>
      <c r="P28" t="inlineStr">
        <is>
          <t xml:space="preserve"/>
        </is>
      </c>
      <c r="Q28" t="inlineStr">
        <is>
          <t xml:space="preserve">42886150</t>
        </is>
      </c>
      <c r="R28" s="3" t="str">
        <f>HYPERLINK("https://doi.org/10.1016/j.adaj.2026.07.012","10.1016/j.adaj.2026.07.012")</f>
        <v>10.1016/j.adaj.2026.07.012</v>
      </c>
      <c r="S28" t="inlineStr">
        <is>
          <t xml:space="preserve"/>
        </is>
      </c>
      <c r="T28" t="inlineStr">
        <is>
          <t xml:space="preserve">Comparative effectiveness of triple-headed and conventional toothbrushes for plaque control and gingival health in children and adolescents with autism spectrum disorder: A randomized controlled trial.</t>
        </is>
      </c>
      <c r="U28" s="3" t="str">
        <f>HYPERLINK("https://pubmed.ncbi.nlm.nih.gov/42886150/","https://pubmed.ncbi.nlm.nih.gov/42886150/")</f>
        <v>https://pubmed.ncbi.nlm.nih.gov/42886150/</v>
      </c>
      <c r="V28" t="inlineStr">
        <is>
          <t xml:space="preserve">Children and adolescents with autism spectrum disorder (ASD) are prone to poor oral hygiene due to motor and sensory challenges. This trial evaluated whether a triple-headed toothbrush (THT) improves gingival health and plaque control more effectively than a conventional toothbrush (CT). A multicenter, single-blind randomized controlled trial enrolled 102 children aged 7 through 18 years with Diagnostic and Statistical Manual of Mental Disorders, Fifth Edition level 1 or 2 ASD across 3 special schools in India, randomized 1:1 to THT or CT. All participants received standardized oral health education and caregiver-supervised twice-daily brushing for 3 months. Plaque and gingival index scores were recorded by a calibrated, blinded examiner at baseline and at 3 months. At 3 months, THT use produced significantly greater reductions in plaque (Hodges-Lehmann estimator, -0.50; 95% CI, -0.63 to -0.31; P &lt; .001; r = 0.60) and gingival (Hodges-Lehmann estimator, -0.25; 95% CI, -0.44 to -0.13; P &lt; .001; r = 0.39) scores than CT, with pronounced improvements on the lingual surface. Both groups showed significant within-group reductions. THT acceptability improved significantly over the study period. A THT produced superior plaque and gingival improvements compared with a CT in children and adolescents with ASD, with pronounced lingual surface benefits and increasing acceptability over time. For families supporting children with ASD in resource-limited settings, a THT offers a cost-effective, technique-forgiving alternative to CTs, improving oral hygiene outcomes when used with caregiver supervision. This clinical trial was registered at Clinical Trials Registry-India. The registration number is CTRI/2024/12/078552.</t>
        </is>
      </c>
    </row>
    <row r="29">
      <c r="A29" t="inlineStr">
        <is>
          <t xml:space="preserve">2026-10-21</t>
        </is>
      </c>
      <c r="B29" t="inlineStr">
        <is>
          <t xml:space="preserve">2026-10-24</t>
        </is>
      </c>
      <c r="C29" t="inlineStr">
        <is>
          <t xml:space="preserve">Bonnot O</t>
        </is>
      </c>
      <c r="D29" t="inlineStr">
        <is>
          <t xml:space="preserve">Gollier-Briant F</t>
        </is>
      </c>
      <c r="E29" t="inlineStr">
        <is>
          <t xml:space="preserve">Bonnot O, Mouhoud T, Shadili G, et al.</t>
        </is>
      </c>
      <c r="F29" t="inlineStr">
        <is>
          <t xml:space="preserve">L'Encephale</t>
        </is>
      </c>
      <c r="G29" t="inlineStr">
        <is>
          <t xml:space="preserve">1.3</t>
        </is>
      </c>
      <c r="H29" t="inlineStr">
        <is>
          <t xml:space="preserve">OpenAlex 2-yr citedness</t>
        </is>
      </c>
      <c r="I29" t="inlineStr">
        <is>
          <t xml:space="preserve">59</t>
        </is>
      </c>
      <c r="J29" t="inlineStr">
        <is>
          <t xml:space="preserve">Intervention &amp; Clinical</t>
        </is>
      </c>
      <c r="K29" t="inlineStr">
        <is>
          <t xml:space="preserve"/>
        </is>
      </c>
      <c r="L29" t="inlineStr">
        <is>
          <t xml:space="preserve">Clinical trial</t>
        </is>
      </c>
      <c r="M29" t="inlineStr">
        <is>
          <t xml:space="preserve"/>
        </is>
      </c>
      <c r="N29" t="inlineStr">
        <is>
          <t xml:space="preserve">Cognition &amp; executive function</t>
        </is>
      </c>
      <c r="O29" t="inlineStr">
        <is>
          <t xml:space="preserve">0</t>
        </is>
      </c>
      <c r="P29" t="inlineStr">
        <is>
          <t xml:space="preserve"/>
        </is>
      </c>
      <c r="Q29" t="inlineStr">
        <is>
          <t xml:space="preserve">42907297</t>
        </is>
      </c>
      <c r="R29" s="3" t="str">
        <f>HYPERLINK("https://doi.org/10.1016/j.encep.2026.08.003","10.1016/j.encep.2026.08.003")</f>
        <v>10.1016/j.encep.2026.08.003</v>
      </c>
      <c r="S29" s="3" t="str">
        <f>HYPERLINK("https://doi.org/10.1016/j.encep.2026.08.003","open access")</f>
        <v>open access</v>
      </c>
      <c r="T29" t="inlineStr">
        <is>
          <t xml:space="preserve">[Artificial intelligence in child and adolescent psychiatry: A critical review of uses, evidence and relational stakes].</t>
        </is>
      </c>
      <c r="U29" s="3" t="str">
        <f>HYPERLINK("https://pubmed.ncbi.nlm.nih.gov/42907297/","https://pubmed.ncbi.nlm.nih.gov/42907297/")</f>
        <v>https://pubmed.ncbi.nlm.nih.gov/42907297/</v>
      </c>
      <c r="V29" t="inlineStr">
        <is>
          <t xml:space="preserve">To critically appraise the main current and emerging uses of artificial intelligence (AI) in child and adolescent psychiatry across three high-burden domains - autism spectrum disorder (ASD), attention-deficit/hyperactivity disorder (ADHD), and depression and suicide risk - and to examine the level of evidence, methodological limitations, and the ethical, safety and relational challenges specific to this population. Critical review of the literature. PubMed/MEDLINE and reference documents from international bodies (WHO, UNICEF, UNESCO) and the European regulatory framework were searched for 2018-2025, combining terms for artificial intelligence, machine learning, digital phenotyping and conversational agents with autism, ADHD, depression, suicide, child and adolescent. Studies were grouped into three domains: diagnostic and screening support; digital and AI-supported interventions; detection of depression and suicide risk. Systematic reviews, meta-analyses, randomised controlled trials, landmark cohort studies and regulatory-cleared devices were prioritised. Synthesis is narrative and critical, without quantitative meta-analysis. In ASD, video-, sensor- and machine-learning-based systems support early detection; the only cleared device (Canvas Dx, FDA De Novo) reports high accuracy on determinate outputs in both pivotal and real-world studies, but leaves a substantial proportion of indeterminate results and lacks robust data on care-pathway impact. In ADHD, instrumented attention tests (QbTest) and a cleared digital therapeutic (EndeavorRx) show moderate effect sizes and unequal access. For depression and suicide, predictive models derived from electronic health records and digital phenotyping achieve fair discrimination (area under the curve often 0.80-0.86) but remain internally validated, with major concerns regarding bias, false positives and governance. Across domains, adolescents frequently describe conversational agents as available, non-judgmental and sometimes perceived as more "empathic" than human interlocutors, raising the question of a reconfiguration of the care relationship. AI offers genuine opportunities for detection, monitoring and some interventions in child and adolescent psychiatry, on the basis of evidence that remains limited and rarely tested in routine care. In a developing population, the integration of these tools must remain subordinate to clinical judgement, reinforced data protection and the centrality of the embodied encounter. AI should be conceived as an adjunct to care, not a substitute for the therapeutic relationship.</t>
        </is>
      </c>
    </row>
    <row r="30">
      <c r="A30" t="inlineStr">
        <is>
          <t xml:space="preserve">2026-10-12</t>
        </is>
      </c>
      <c r="B30" t="inlineStr">
        <is>
          <t xml:space="preserve">2026-10-24</t>
        </is>
      </c>
      <c r="C30" t="inlineStr">
        <is>
          <t xml:space="preserve">Dallman AR</t>
        </is>
      </c>
      <c r="D30" t="inlineStr">
        <is>
          <t xml:space="preserve">Jimenez ME</t>
        </is>
      </c>
      <c r="E30" t="inlineStr">
        <is>
          <t xml:space="preserve">Dallman AR, Santucci G, Lai D, et al.</t>
        </is>
      </c>
      <c r="F30" t="inlineStr">
        <is>
          <t xml:space="preserve">The American journal of occupational therapy : official publication of the American Occupational Therapy Association</t>
        </is>
      </c>
      <c r="G30" t="inlineStr">
        <is>
          <t xml:space="preserve"/>
        </is>
      </c>
      <c r="H30" t="inlineStr">
        <is>
          <t xml:space="preserve"/>
        </is>
      </c>
      <c r="I30" t="inlineStr">
        <is>
          <t xml:space="preserve"/>
        </is>
      </c>
      <c r="J30" t="inlineStr">
        <is>
          <t xml:space="preserve">Intervention &amp; Clinical</t>
        </is>
      </c>
      <c r="K30" t="inlineStr">
        <is>
          <t xml:space="preserve"/>
        </is>
      </c>
      <c r="L30" t="inlineStr">
        <is>
          <t xml:space="preserve">Clinical observation</t>
        </is>
      </c>
      <c r="M30" t="inlineStr">
        <is>
          <t xml:space="preserve"/>
        </is>
      </c>
      <c r="N30" t="inlineStr">
        <is>
          <t xml:space="preserve">Interventions &amp; supports</t>
        </is>
      </c>
      <c r="O30" t="inlineStr">
        <is>
          <t xml:space="preserve">0</t>
        </is>
      </c>
      <c r="P30" t="inlineStr">
        <is>
          <t xml:space="preserve"/>
        </is>
      </c>
      <c r="Q30" t="inlineStr">
        <is>
          <t xml:space="preserve">42862150</t>
        </is>
      </c>
      <c r="R30" s="3" t="str">
        <f>HYPERLINK("https://doi.org/10.1177/19437676261493019","10.1177/19437676261493019")</f>
        <v>10.1177/19437676261493019</v>
      </c>
      <c r="S30" t="inlineStr">
        <is>
          <t xml:space="preserve"/>
        </is>
      </c>
      <c r="T30" t="inlineStr">
        <is>
          <t xml:space="preserve">Lifestyle Documentation in Therapy Evaluations for Autistic Children: A Lexicon-Based Analysis of Electronic Health Records.</t>
        </is>
      </c>
      <c r="U30" s="3" t="str">
        <f>HYPERLINK("https://pubmed.ncbi.nlm.nih.gov/42862150/","https://pubmed.ncbi.nlm.nih.gov/42862150/")</f>
        <v>https://pubmed.ncbi.nlm.nih.gov/42862150/</v>
      </c>
      <c r="V30" t="inlineStr">
        <is>
          <t xml:space="preserve">BackgroundWhole person health (WPH) is a multidimensional construct encompassing, physical, and mental health along with relational constructs such as social health that are deeply tied to well-being. Autistic individuals report an overall lower quality of life, but the extent to which these issues are addressed during therapy evaluations has not been examined systematically.MethodologyIn this retrospective, cross-sectional study, we employ a rule-based NLP/lexicon-based approach to examine the areas of focus of therapy evaluations documented by occupational therapy, physical therapy (PT), and speech-language pathology (SLP) professionals. Using electronic health records for children aged 2 to 18 diagnosed with autism spectrum disorder (ASD) (n = 5619 evaluation reports of n = 2021 unique patients), we classified health records based on the domains addressed.ResultsAcross notes, nutrition had the highest average degree of documentation (M = 2.14), compared to activity (M = 0.91), followed by wellness (M = 0.66), and sleep (M = 0.39). In occupational therapy, wellness was the most common (77.62% of notes), followed by physical activity (76.49% of notes), nutrition management (73.33% of notes), and sleep (34.97% of notes). The overall area under the curve (AUC) from the receiver operating characteristic analysis is 0.89.ConclusionsWhile it is encouraging that most evaluations addressed nutrition or physical activity, the near absence of attention to sleep represents a critical gap in care. Given sleep's foundational role in overall health and daily functioning, its omission is particularly concerning. Occupational therapists and interdisciplinary rehabilitation teams should more deliberately integrate WPH frameworks into their evaluations. Many Autistic people face challenges that can affect their overall well-being and quality of life. In this study, we reviewed evaluation reports from Autistic children in a large health system. We looked at how these reports addressed key areas of whole-person health, including physical activity, sleep, nutrition, and overall wellness. We found that nutrition was the most addressed area, followed by physical activity, sleep, and wellness. While it is encouraging that many evaluations included nutrition and physical activity, very few addressed sleep. This is an important gap, given how essential sleep is for health and daily functioning. We believe rehabilitation clinicians should routinely ask about sleep as part of their evaluations. We also suggest that evaluation reports can be a valuable tool for identifying gaps in care and should be used more often to improve health system practices.</t>
        </is>
      </c>
    </row>
    <row r="31">
      <c r="A31" t="inlineStr">
        <is>
          <t xml:space="preserve">2026-10-19</t>
        </is>
      </c>
      <c r="B31" t="inlineStr">
        <is>
          <t xml:space="preserve">2026-10-24</t>
        </is>
      </c>
      <c r="C31" t="inlineStr">
        <is>
          <t xml:space="preserve">Peng S</t>
        </is>
      </c>
      <c r="D31" t="inlineStr">
        <is>
          <t xml:space="preserve">Liu R</t>
        </is>
      </c>
      <c r="E31" t="inlineStr">
        <is>
          <t xml:space="preserve">Peng S, Wang L, Ouyang J, et al.</t>
        </is>
      </c>
      <c r="F31" t="inlineStr">
        <is>
          <t xml:space="preserve">MedComm</t>
        </is>
      </c>
      <c r="G31" t="inlineStr">
        <is>
          <t xml:space="preserve">10.9</t>
        </is>
      </c>
      <c r="H31" t="inlineStr">
        <is>
          <t xml:space="preserve">OpenAlex 2-yr citedness</t>
        </is>
      </c>
      <c r="I31" t="inlineStr">
        <is>
          <t xml:space="preserve">83</t>
        </is>
      </c>
      <c r="J31" t="inlineStr">
        <is>
          <t xml:space="preserve">Neuroimmunology</t>
        </is>
      </c>
      <c r="K31" t="inlineStr">
        <is>
          <t xml:space="preserve"/>
        </is>
      </c>
      <c r="L31" t="inlineStr">
        <is>
          <t xml:space="preserve">Review / synthesis</t>
        </is>
      </c>
      <c r="M31" t="inlineStr">
        <is>
          <t xml:space="preserve"/>
        </is>
      </c>
      <c r="N31" t="inlineStr">
        <is>
          <t xml:space="preserve">Microglia &amp; glia</t>
        </is>
      </c>
      <c r="O31" t="inlineStr">
        <is>
          <t xml:space="preserve">0</t>
        </is>
      </c>
      <c r="P31" t="inlineStr">
        <is>
          <t xml:space="preserve"/>
        </is>
      </c>
      <c r="Q31" t="inlineStr">
        <is>
          <t xml:space="preserve">42898978</t>
        </is>
      </c>
      <c r="R31" s="3" t="str">
        <f>HYPERLINK("https://doi.org/10.1002/mco2.71069","10.1002/mco2.71069")</f>
        <v>10.1002/mco2.71069</v>
      </c>
      <c r="S31" s="3" t="str">
        <f>HYPERLINK("https://onlinelibrary.wiley.com/doi/pdfdirect/10.1002/mco2.71069","open access")</f>
        <v>open access</v>
      </c>
      <c r="T31" t="inlineStr">
        <is>
          <t xml:space="preserve">The Role of Astrocytes in the Inflammatory Response in Neurodiseases.</t>
        </is>
      </c>
      <c r="U31" s="3" t="str">
        <f>HYPERLINK("https://pubmed.ncbi.nlm.nih.gov/42898978/","https://pubmed.ncbi.nlm.nih.gov/42898978/")</f>
        <v>https://pubmed.ncbi.nlm.nih.gov/42898978/</v>
      </c>
      <c r="V31" t="inlineStr">
        <is>
          <t xml:space="preserve">Astrocytes have emerged as central regulators of neuroinflammation, extending far beyond their traditional roles as structural and metabolic support cells. In neurological disorders, astrocytes undergo reactive remodeling that encompasses morphological, transcriptional, metabolic, and functional changes. Rather than fitting into a fixed A1/A2 dichotomy, reactive astrocytes exist along a disease-, region-, and stage-dependent continuum shaped by local pathology and intercellular crosstalk. This review summarizes how astrocytes contribute to neuroinflammatory processes in Alzheimer's disease, Parkinson's disease, amyotrophic lateral sclerosis, Huntington's disease, central nervous system injury, infection, multiple sclerosis, epilepsy, and autism spectrum disorder. We highlight convergent mechanisms, including cytokine and chemokine release, complement activation, glutamate and ion homeostasis disruption, oxidative stress, metabolic reprogramming, and blood-brain barrier regulation, while emphasizing disease-specific astrocytic programs. We further discuss astrocyte interactions with microglia, neurons, oligodendrocytes, endothelial cells, and peripheral immune cells, as well as key regulatory pathways, epigenetic remodeling, and lipid-dependent metabolic signaling. Finally, we evaluate current and emerging astrocyte-targeted therapeutic strategies, including metabolic modulation, receptor targeting, gene editing, nanodelivery, and gut-brain axis interventions. Defining functionally validated astrocyte states and developing biomarker-guided, stage-adaptive therapies may enable more precise intervention in neuroinflammatory and neurodegenerative diseases.</t>
        </is>
      </c>
    </row>
    <row r="32">
      <c r="A32" t="inlineStr">
        <is>
          <t xml:space="preserve">2026-10-23</t>
        </is>
      </c>
      <c r="B32" t="inlineStr">
        <is>
          <t xml:space="preserve">2026-10-24</t>
        </is>
      </c>
      <c r="C32" t="inlineStr">
        <is>
          <t xml:space="preserve">Khusenova N</t>
        </is>
      </c>
      <c r="D32" t="inlineStr">
        <is>
          <t xml:space="preserve">Abramyan A</t>
        </is>
      </c>
      <c r="E32" t="inlineStr">
        <is>
          <t xml:space="preserve">Khusenova N, Madjidova Y, Mizamov F, et al.</t>
        </is>
      </c>
      <c r="F32" t="inlineStr">
        <is>
          <t xml:space="preserve">Brain &amp; development</t>
        </is>
      </c>
      <c r="G32" t="inlineStr">
        <is>
          <t xml:space="preserve">1.4</t>
        </is>
      </c>
      <c r="H32" t="inlineStr">
        <is>
          <t xml:space="preserve">OpenAlex 2-yr citedness</t>
        </is>
      </c>
      <c r="I32" t="inlineStr">
        <is>
          <t xml:space="preserve">121</t>
        </is>
      </c>
      <c r="J32" t="inlineStr">
        <is>
          <t xml:space="preserve">Cytokines &amp; Inflammation</t>
        </is>
      </c>
      <c r="K32" t="inlineStr">
        <is>
          <t xml:space="preserve"/>
        </is>
      </c>
      <c r="L32" t="inlineStr">
        <is>
          <t xml:space="preserve">Clinical observation</t>
        </is>
      </c>
      <c r="M32" t="inlineStr">
        <is>
          <t xml:space="preserve"/>
        </is>
      </c>
      <c r="N32" t="inlineStr">
        <is>
          <t xml:space="preserve">Gut microbiome</t>
        </is>
      </c>
      <c r="O32" t="inlineStr">
        <is>
          <t xml:space="preserve">0</t>
        </is>
      </c>
      <c r="P32" t="inlineStr">
        <is>
          <t xml:space="preserve"/>
        </is>
      </c>
      <c r="Q32" t="inlineStr">
        <is>
          <t xml:space="preserve">42914764</t>
        </is>
      </c>
      <c r="R32" s="3" t="str">
        <f>HYPERLINK("https://doi.org/10.1016/j.braindev.2026.104611","10.1016/j.braindev.2026.104611")</f>
        <v>10.1016/j.braindev.2026.104611</v>
      </c>
      <c r="S32" t="inlineStr">
        <is>
          <t xml:space="preserve"/>
        </is>
      </c>
      <c r="T32" t="inlineStr">
        <is>
          <t xml:space="preserve">Clinical, immunological and metabolic features and gut-brain axis markers in children with autism spectrum disorder and TORCH-associated central nervous system involvement.</t>
        </is>
      </c>
      <c r="U32" s="3" t="str">
        <f>HYPERLINK("https://pubmed.ncbi.nlm.nih.gov/42914764/","https://pubmed.ncbi.nlm.nih.gov/42914764/")</f>
        <v>https://pubmed.ncbi.nlm.nih.gov/42914764/</v>
      </c>
      <c r="V32" t="inlineStr">
        <is>
          <t xml:space="preserve">Autism spectrum disorders (ASD) have heterogeneous etiologies, with TORCH infections potentially contributing to neurodevelopmental disruption through central nervous system injury and gut-brain axis dysfunction. A prospective comparative study enrolled 280 children aged 3-10 years with ASD: 112 with TORCH-associated central nervous system (CNS) involvement (main group) and 168 with idiopathic ASD (comparison group), alongside 25 healthy controls. Assessments included clinical/neurological features, autism severity, gastrointestinal symptoms, pro-inflammatory cytokines, metabolic markers, neuron-specific enolase (NSE), fecal zonulin, and brain MRI. TORCH pathogens were detected by PCR from saliva samples. TORCH-associated ASD exhibited a more severe phenotype with greater frequencies of delayed speech, cognitive impairment, sleep disturbance, hyperactivity, emotional-behavioral dysregulation, epileptiform manifestations, and gastrointestinal symptoms. Severe ASD was significantly more common in the TORCH group. Laboratory analyses revealed significantly elevated interleukin-1β, interleukin-8, tumor necrosis factor alpha, homocysteine, ammonia, uric acid, NSE, and fecal zonulin, with reduced folate. Fecal zonulin was positively correlated with inflammatory markers and neuron-specific enolase. MRI more frequently demonstrated periventricular gliosis, ventriculomegaly, subependymal abnormalities, and diffuse residual organic changes. In this cohort, ASD with clinical evidence of TORCH-associated CNS involvement was associated with greater clinical severity and higher serum inflammatory, metabolic, neuronal-injury, fecal-zonulin, and structural MRI measures than ASD without such evidence. The cross-sectional design and limitations of salivary PCR preclude causal attribution to TORCH infection.</t>
        </is>
      </c>
    </row>
    <row r="33">
      <c r="A33" t="inlineStr">
        <is>
          <t xml:space="preserve">2026-10-15</t>
        </is>
      </c>
      <c r="B33" t="inlineStr">
        <is>
          <t xml:space="preserve">2026-10-24</t>
        </is>
      </c>
      <c r="C33" t="inlineStr">
        <is>
          <t xml:space="preserve">Li A</t>
        </is>
      </c>
      <c r="D33" t="inlineStr">
        <is>
          <t xml:space="preserve">Xiao Y</t>
        </is>
      </c>
      <c r="E33" t="inlineStr">
        <is>
          <t xml:space="preserve">Li A, Zhang J, Yu C, et al.</t>
        </is>
      </c>
      <c r="F33" t="inlineStr">
        <is>
          <t xml:space="preserve">Psychiatry research</t>
        </is>
      </c>
      <c r="G33" t="inlineStr">
        <is>
          <t xml:space="preserve">4.6</t>
        </is>
      </c>
      <c r="H33" t="inlineStr">
        <is>
          <t xml:space="preserve">OpenAlex 2-yr citedness</t>
        </is>
      </c>
      <c r="I33" t="inlineStr">
        <is>
          <t xml:space="preserve">249</t>
        </is>
      </c>
      <c r="J33" t="inlineStr">
        <is>
          <t xml:space="preserve">Neuroscience &amp; Imaging</t>
        </is>
      </c>
      <c r="K33" t="inlineStr">
        <is>
          <t xml:space="preserve"/>
        </is>
      </c>
      <c r="L33" t="inlineStr">
        <is>
          <t xml:space="preserve">Clinical observation</t>
        </is>
      </c>
      <c r="M33" t="inlineStr">
        <is>
          <t xml:space="preserve"/>
        </is>
      </c>
      <c r="N33" t="inlineStr">
        <is>
          <t xml:space="preserve">Social &amp; communication, fMRI &amp; connectivity</t>
        </is>
      </c>
      <c r="O33" t="inlineStr">
        <is>
          <t xml:space="preserve">0</t>
        </is>
      </c>
      <c r="P33" t="inlineStr">
        <is>
          <t xml:space="preserve"/>
        </is>
      </c>
      <c r="Q33" t="inlineStr">
        <is>
          <t xml:space="preserve">42892189</t>
        </is>
      </c>
      <c r="R33" s="3" t="str">
        <f>HYPERLINK("https://doi.org/10.1016/j.psychres.2026.117529","10.1016/j.psychres.2026.117529")</f>
        <v>10.1016/j.psychres.2026.117529</v>
      </c>
      <c r="S33" t="inlineStr">
        <is>
          <t xml:space="preserve"/>
        </is>
      </c>
      <c r="T33" t="inlineStr">
        <is>
          <t xml:space="preserve">Predicting individual differences in social functioning from functional connectomes in children with autism spectrum disorder.</t>
        </is>
      </c>
      <c r="U33" s="3" t="str">
        <f>HYPERLINK("https://pubmed.ncbi.nlm.nih.gov/42892189/","https://pubmed.ncbi.nlm.nih.gov/42892189/")</f>
        <v>https://pubmed.ncbi.nlm.nih.gov/42892189/</v>
      </c>
      <c r="V33" t="inlineStr">
        <is>
          <t xml:space="preserve">Autism spectrum disorder (ASD) is characterized by profound heterogeneity in social functioning. While previous studies using group-level comparisons and predefined regions of interest have identified neural correlates of social deficits in ASD, the neural basis of individual differences in social functioning remains unclear. Here, we applied connectome-based predictive modeling to resting-state functional MRI data from 65 children with ASD aged 1.5-8 years (mean age = 4.23 years) to predict individual differences in social functioning assessed by the personal-social subscale of the Griffiths Development Scales (GDS). Results showed that whole-brain functional connectivity significantly predicted personal-social scores. The positive predictive network was dominated by connections within the default mode network, with the left precuneus emerging as a core hub. In contrast, the negative predictive network mainly involved inter-network connections, particularly between the frontoparietal and sensorimotor networks. In an independent cohort of 27 children with ASD aged 1.25-8 years (mean age = 3.31 years), the positive-edge model showed a significant association with personal-social scores, whereas the negative-edge and combined models did not. These findings suggest that intrinsic large-scale brain network organization is associated with individual differences in social functioning in children with ASD, highlighting the potential of network-level approaches for characterizing neurodevelopmental heterogeneity and supporting future precision-oriented research.</t>
        </is>
      </c>
    </row>
    <row r="34">
      <c r="A34" t="inlineStr">
        <is>
          <t xml:space="preserve">2026-10-15</t>
        </is>
      </c>
      <c r="B34" t="inlineStr">
        <is>
          <t xml:space="preserve">2026-10-24</t>
        </is>
      </c>
      <c r="C34" t="inlineStr">
        <is>
          <t xml:space="preserve">Li X</t>
        </is>
      </c>
      <c r="D34" t="inlineStr">
        <is>
          <t xml:space="preserve">Cao F</t>
        </is>
      </c>
      <c r="E34" t="inlineStr">
        <is>
          <t xml:space="preserve">Li X, Zuo F, Cheng Y, et al.</t>
        </is>
      </c>
      <c r="F34" t="inlineStr">
        <is>
          <t xml:space="preserve">Proceedings of the National Academy of Sciences of the United States of America</t>
        </is>
      </c>
      <c r="G34" t="inlineStr">
        <is>
          <t xml:space="preserve"/>
        </is>
      </c>
      <c r="H34" t="inlineStr">
        <is>
          <t xml:space="preserve"/>
        </is>
      </c>
      <c r="I34" t="inlineStr">
        <is>
          <t xml:space="preserve"/>
        </is>
      </c>
      <c r="J34" t="inlineStr">
        <is>
          <t xml:space="preserve">Neuroscience &amp; Imaging</t>
        </is>
      </c>
      <c r="K34" t="inlineStr">
        <is>
          <t xml:space="preserve"/>
        </is>
      </c>
      <c r="L34" t="inlineStr">
        <is>
          <t xml:space="preserve">Clinical observation</t>
        </is>
      </c>
      <c r="M34" t="inlineStr">
        <is>
          <t xml:space="preserve"/>
        </is>
      </c>
      <c r="N34" t="inlineStr">
        <is>
          <t xml:space="preserve">School, work &amp; adult life, MRI &amp; DTI, fMRI &amp; connectivity</t>
        </is>
      </c>
      <c r="O34" t="inlineStr">
        <is>
          <t xml:space="preserve">1</t>
        </is>
      </c>
      <c r="P34" t="inlineStr">
        <is>
          <t xml:space="preserve"/>
        </is>
      </c>
      <c r="Q34" t="inlineStr">
        <is>
          <t xml:space="preserve">42879491</t>
        </is>
      </c>
      <c r="R34" s="3" t="str">
        <f>HYPERLINK("https://doi.org/10.1073/pnas.2617358123","10.1073/pnas.2617358123")</f>
        <v>10.1073/pnas.2617358123</v>
      </c>
      <c r="S34" s="3" t="str">
        <f>HYPERLINK("https://doi.org/10.1073/pnas.2617358123","open access")</f>
        <v>open access</v>
      </c>
      <c r="T34" t="inlineStr">
        <is>
          <t xml:space="preserve">Two clusters of brain regions with distinct age-related profiles of functional connectivity in autism spectrum disorder.</t>
        </is>
      </c>
      <c r="U34" s="3" t="str">
        <f>HYPERLINK("https://pubmed.ncbi.nlm.nih.gov/42879491/","https://pubmed.ncbi.nlm.nih.gov/42879491/")</f>
        <v>https://pubmed.ncbi.nlm.nih.gov/42879491/</v>
      </c>
      <c r="V34" t="inlineStr">
        <is>
          <t xml:space="preserve">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GABAAα5,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row>
    <row r="35">
      <c r="A35" t="inlineStr">
        <is>
          <t xml:space="preserve">2026-10-22</t>
        </is>
      </c>
      <c r="B35" t="inlineStr">
        <is>
          <t xml:space="preserve">2026-10-24</t>
        </is>
      </c>
      <c r="C35" t="inlineStr">
        <is>
          <t xml:space="preserve">Li Y</t>
        </is>
      </c>
      <c r="D35" t="inlineStr">
        <is>
          <t xml:space="preserve">Li R</t>
        </is>
      </c>
      <c r="E35" t="inlineStr">
        <is>
          <t xml:space="preserve">Li Y, Zhang L, Hou L, et al.</t>
        </is>
      </c>
      <c r="F35" t="inlineStr">
        <is>
          <t xml:space="preserve">IEEE transactions on bio-medical engineering</t>
        </is>
      </c>
      <c r="G35" t="inlineStr">
        <is>
          <t xml:space="preserve">4.1</t>
        </is>
      </c>
      <c r="H35" t="inlineStr">
        <is>
          <t xml:space="preserve">OpenAlex 2-yr citedness</t>
        </is>
      </c>
      <c r="I35" t="inlineStr">
        <is>
          <t xml:space="preserve">310</t>
        </is>
      </c>
      <c r="J35" t="inlineStr">
        <is>
          <t xml:space="preserve">Neuroscience &amp; Imaging</t>
        </is>
      </c>
      <c r="K35" t="inlineStr">
        <is>
          <t xml:space="preserve"/>
        </is>
      </c>
      <c r="L35" t="inlineStr">
        <is>
          <t xml:space="preserve">Clinical observation</t>
        </is>
      </c>
      <c r="M35" t="inlineStr">
        <is>
          <t xml:space="preserve"/>
        </is>
      </c>
      <c r="N35" t="inlineStr">
        <is>
          <t xml:space="preserve">fMRI &amp; connectivity, EEG / MEG / ERP, PET, MRS &amp; optical</t>
        </is>
      </c>
      <c r="O35" t="inlineStr">
        <is>
          <t xml:space="preserve">0</t>
        </is>
      </c>
      <c r="P35" t="inlineStr">
        <is>
          <t xml:space="preserve"/>
        </is>
      </c>
      <c r="Q35" t="inlineStr">
        <is>
          <t xml:space="preserve">42911835</t>
        </is>
      </c>
      <c r="R35" s="3" t="str">
        <f>HYPERLINK("https://doi.org/10.1109/tbme.2026.3746308","10.1109/tbme.2026.3746308")</f>
        <v>10.1109/tbme.2026.3746308</v>
      </c>
      <c r="S35" t="inlineStr">
        <is>
          <t xml:space="preserve"/>
        </is>
      </c>
      <c r="T35" t="inlineStr">
        <is>
          <t xml:space="preserve">Multimodal Analysis of Brain Network Abnormalities in Autism Spectrum Disorder: a Graph Neural Network-based Fusion Investigation of EEG and fNIRS.</t>
        </is>
      </c>
      <c r="U35" s="3" t="str">
        <f>HYPERLINK("https://pubmed.ncbi.nlm.nih.gov/42911835/","https://pubmed.ncbi.nlm.nih.gov/42911835/")</f>
        <v>https://pubmed.ncbi.nlm.nih.gov/42911835/</v>
      </c>
      <c r="V35" t="inlineStr">
        <is>
          <t xml:space="preserve">This study aimed to identify brain network abnormalities of children with Autism Spectrum Disorder (ASD) by analyzing multimodal neuroimaging data through graph neural networks (GNNs), laying a technical foundation for future machine learning-based neuroimaging analysis. We employed combined electroencephalogram (EEG) and functional near-infrared spectroscopy (fNIRS) to capture brain activity of 58 ASD children and 63 age- and gender-matched typically developing (TD) children. The concurrent EEG and fNIRS data were fused using an enhanced GNN to identify ASD with high accuracy. Key connections and regions of interest (ROIs) were identified for each group, followed by graph theory metrics (e.g., local efficiency) and topological data analysis (TDA) to quantify group differences. The proposed GNN model achieved 84% accuracy, outperforming the single-modality approach. Analysis of subgraph created by the model showed that the two groups exhibited different neural patterns in motor-language integration and lateralization, a key basis for GNN models to distinguish between the two groups. Individuals with ASD may also have topological defects such as lower average local efficiency and a lack of high-order structures. The proposed framework effectively captures quantitative insights ranging from specific connection-level variations to network-level differences, identifying candidate discriminative connectivity patterns within this cohort. This study establishes a multimodal deep learning framework that identifies candidate discriminative topological signatures from fused EEG-fNIRS data, providing preliminary within-cohort classification evidence and an exploratory topological analysis framework.</t>
        </is>
      </c>
    </row>
    <row r="36">
      <c r="A36" t="inlineStr">
        <is>
          <t xml:space="preserve">2026-10-23</t>
        </is>
      </c>
      <c r="B36" t="inlineStr">
        <is>
          <t xml:space="preserve">2026-10-24</t>
        </is>
      </c>
      <c r="C36" t="inlineStr">
        <is>
          <t xml:space="preserve">Bakul F</t>
        </is>
      </c>
      <c r="D36" t="inlineStr">
        <is>
          <t xml:space="preserve">Kana RK</t>
        </is>
      </c>
      <c r="E36" t="inlineStr">
        <is>
          <t xml:space="preserve">Bakul F, Krafick KI, Kana RK</t>
        </is>
      </c>
      <c r="F36" t="inlineStr">
        <is>
          <t xml:space="preserve">Behavioural brain research</t>
        </is>
      </c>
      <c r="G36" t="inlineStr">
        <is>
          <t xml:space="preserve">3.0</t>
        </is>
      </c>
      <c r="H36" t="inlineStr">
        <is>
          <t xml:space="preserve">OpenAlex 2-yr citedness</t>
        </is>
      </c>
      <c r="I36" t="inlineStr">
        <is>
          <t xml:space="preserve">252</t>
        </is>
      </c>
      <c r="J36" t="inlineStr">
        <is>
          <t xml:space="preserve">Neuroscience &amp; Imaging</t>
        </is>
      </c>
      <c r="K36" t="inlineStr">
        <is>
          <t xml:space="preserve"/>
        </is>
      </c>
      <c r="L36" t="inlineStr">
        <is>
          <t xml:space="preserve">Review / synthesis</t>
        </is>
      </c>
      <c r="M36" t="inlineStr">
        <is>
          <t xml:space="preserve"/>
        </is>
      </c>
      <c r="N36" t="inlineStr">
        <is>
          <t xml:space="preserve"/>
        </is>
      </c>
      <c r="O36" t="inlineStr">
        <is>
          <t xml:space="preserve">0</t>
        </is>
      </c>
      <c r="P36" t="inlineStr">
        <is>
          <t xml:space="preserve"/>
        </is>
      </c>
      <c r="Q36" t="inlineStr">
        <is>
          <t xml:space="preserve">42918308</t>
        </is>
      </c>
      <c r="R36" s="3" t="str">
        <f>HYPERLINK("https://doi.org/10.1016/j.bbr.2026.116546","10.1016/j.bbr.2026.116546")</f>
        <v>10.1016/j.bbr.2026.116546</v>
      </c>
      <c r="S36" t="inlineStr">
        <is>
          <t xml:space="preserve"/>
        </is>
      </c>
      <c r="T36" t="inlineStr">
        <is>
          <t xml:space="preserve">The Spectrum within the Spectrum: Neural Heterogeneity in Autism.</t>
        </is>
      </c>
      <c r="U36" s="3" t="str">
        <f>HYPERLINK("https://pubmed.ncbi.nlm.nih.gov/42918308/","https://pubmed.ncbi.nlm.nih.gov/42918308/")</f>
        <v>https://pubmed.ncbi.nlm.nih.gov/42918308/</v>
      </c>
      <c r="V36" t="inlineStr">
        <is>
          <t xml:space="preserve">Autism Spectrum Disorder (ASD) encompasses diverse behavioral, cognitive, and neural profiles that vary widely across individuals. Because diagnosis remains predominantly behavior-based, clinically meaningful within-spectrum differences are often missed. Recent advances in neuroimaging analysis have created opportunities for the identification of distinct neural profiles within ASD. These new avenues provide ways to examine intra-ASD heterogeneity directly, identifying person-specific brain-behavior patterns that group-level comparisons fail to capture. The present systematic review focused on neuroimaging methods (i.e., resting-state fMRI; rs-fMRI, cortical morphology) that emphasized heterogeneity-informed outcomes based on normative modeling, data-driven subtyping, clustering analysis and similar analytic choices. For rs-fMRI, findings showed that differences in connectivity within the default mode and salience networks were linked to social-communication and language impairments, with subtype-specific patterns emerging across samples. In cortical thickness and surface area, studies identified distinct developmental trajectories and individual deviation profiles, with prefrontal and temporal regions often tied to repetitive behaviors and social-communication difficulties. Voxel-based analyses revealed subgroup-specific gray matter alterations, including cerebellar and cortical differences, that aligned with variation in repetitive behaviors and social difficulties. Collectively, this emerging evidence supports the notion that neural heterogeneity in autism is a core feature rather than a limitation. Embracing individual variability can provide crucial insight into the inconsistencies and contradictions of earlier case-control and group-level findings. Moving forward, autism research must prioritize heterogeneity-based methods to establish reproducible subtypes and individualized brain-behavior links.</t>
        </is>
      </c>
    </row>
    <row r="37">
      <c r="A37" t="inlineStr">
        <is>
          <t xml:space="preserve">2026-10-16</t>
        </is>
      </c>
      <c r="B37" t="inlineStr">
        <is>
          <t xml:space="preserve">2026-10-24</t>
        </is>
      </c>
      <c r="C37" t="inlineStr">
        <is>
          <t xml:space="preserve">Bory P</t>
        </is>
      </c>
      <c r="D37" t="inlineStr">
        <is>
          <t xml:space="preserve">Denis A</t>
        </is>
      </c>
      <c r="E37" t="inlineStr">
        <is>
          <t xml:space="preserve">Bory P, Fiorentino M, Bérenguier L, et al.</t>
        </is>
      </c>
      <c r="F37" t="inlineStr">
        <is>
          <t xml:space="preserve">L'Encephale</t>
        </is>
      </c>
      <c r="G37" t="inlineStr">
        <is>
          <t xml:space="preserve">1.3</t>
        </is>
      </c>
      <c r="H37" t="inlineStr">
        <is>
          <t xml:space="preserve">OpenAlex 2-yr citedness</t>
        </is>
      </c>
      <c r="I37" t="inlineStr">
        <is>
          <t xml:space="preserve">59</t>
        </is>
      </c>
      <c r="J37" t="inlineStr">
        <is>
          <t xml:space="preserve">Behavioral &amp; Developmental</t>
        </is>
      </c>
      <c r="K37" t="inlineStr">
        <is>
          <t xml:space="preserve"/>
        </is>
      </c>
      <c r="L37" t="inlineStr">
        <is>
          <t xml:space="preserve">Review / synthesis</t>
        </is>
      </c>
      <c r="M37" t="inlineStr">
        <is>
          <t xml:space="preserve"/>
        </is>
      </c>
      <c r="N37" t="inlineStr">
        <is>
          <t xml:space="preserve"/>
        </is>
      </c>
      <c r="O37" t="inlineStr">
        <is>
          <t xml:space="preserve">0</t>
        </is>
      </c>
      <c r="P37" t="inlineStr">
        <is>
          <t xml:space="preserve"/>
        </is>
      </c>
      <c r="Q37" t="inlineStr">
        <is>
          <t xml:space="preserve">42888159</t>
        </is>
      </c>
      <c r="R37" s="3" t="str">
        <f>HYPERLINK("https://doi.org/10.1016/j.encep.2026.08.011","10.1016/j.encep.2026.08.011")</f>
        <v>10.1016/j.encep.2026.08.011</v>
      </c>
      <c r="S37" s="3" t="str">
        <f>HYPERLINK("https://doi.org/10.1016/j.encep.2026.08.011","open access")</f>
        <v>open access</v>
      </c>
      <c r="T37" t="inlineStr">
        <is>
          <t xml:space="preserve">Autistic burnout: Early insights from a systematic review on characteristics, precipitating factors, and protective mechanisms.</t>
        </is>
      </c>
      <c r="U37" s="3" t="str">
        <f>HYPERLINK("https://pubmed.ncbi.nlm.nih.gov/42888159/","https://pubmed.ncbi.nlm.nih.gov/42888159/")</f>
        <v>https://pubmed.ncbi.nlm.nih.gov/42888159/</v>
      </c>
      <c r="V37" t="inlineStr">
        <is>
          <t xml:space="preserve">Despite sustained advocacy by autistic individuals over the years, autism research has largely overlooked autistic burnout, a critical but understudied phenomenon. Recently, scientific research has begun to address this gap. This systematic review of literature aims to consolidate scientific knowledge about autistic burnout. The objectives of this study are to provide a comprehensive overview of the known characteristics of autistic burnout, its precipitating factors and strategies for recovery and to clarify how it differs from depression. Following Preferred Reporting Items for Systematic Reviews and Meta-Analyses guidelines we searched PubMed, PsychINFO, and Web of Science in January 2025 to identify articles that fit our study goals. Some inclusion and exclusion criteria were determined for this review. We appraised the quality of studies with a Critical Appraisal Skills Programme (CASP) checklist. A qualitative analysis was conducted based on the final selected articles. Thirteen articles met inclusion criteria, revealing key characteristics of autistic burnout. Autistic burnout is characterized by a range of symptoms including mental and physical exhaustion, and impairment in cognitive capacities, particularly executive functions. Furthermore, significant impacts on mental health were reported with self-injury and suicidal ideation. Current research conceptualized autistic burnout as a chronic condition with emerging evidence distinguishing it from depression. Key factors precipitating autistic burnout included masking, social interaction and exposure to stressors. Recovery strategies for autistic individuals often emphasized increased self-awareness of personal need and seeking support within an autistic community. However, some studies suggested that not all individuals fully recover from autistic burnout or might benefit from targeted therapeutic interventions. This review highlights the lack of knowledge among professionals about autistic burnout and emphasizes the detrimental impact this can have on patient care. Autistic burnout being a new study subject, further research is necessary to deepen conceptual clarity and explore the nuanced dimensions of this phenomenon. Future work should strive to improve representativity in their study.</t>
        </is>
      </c>
    </row>
    <row r="38">
      <c r="A38" t="inlineStr">
        <is>
          <t xml:space="preserve">2026-10-17</t>
        </is>
      </c>
      <c r="B38" t="inlineStr">
        <is>
          <t xml:space="preserve">2026-10-24</t>
        </is>
      </c>
      <c r="C38" t="inlineStr">
        <is>
          <t xml:space="preserve">Kang S</t>
        </is>
      </c>
      <c r="D38" t="inlineStr">
        <is>
          <t xml:space="preserve">Locke J</t>
        </is>
      </c>
      <c r="E38" t="inlineStr">
        <is>
          <t xml:space="preserve">Kang S, Ghosh Choudhuri P, Sridhar A, et al.</t>
        </is>
      </c>
      <c r="F38" t="inlineStr">
        <is>
          <t xml:space="preserve">Autism</t>
        </is>
      </c>
      <c r="G38" t="inlineStr">
        <is>
          <t xml:space="preserve">7.5</t>
        </is>
      </c>
      <c r="H38" t="inlineStr">
        <is>
          <t xml:space="preserve">JCR impact factor</t>
        </is>
      </c>
      <c r="I38" t="inlineStr">
        <is>
          <t xml:space="preserve">177</t>
        </is>
      </c>
      <c r="J38" t="inlineStr">
        <is>
          <t xml:space="preserve">Behavioral &amp; Developmental</t>
        </is>
      </c>
      <c r="K38" t="inlineStr">
        <is>
          <t xml:space="preserve"/>
        </is>
      </c>
      <c r="L38" t="inlineStr">
        <is>
          <t xml:space="preserve">Unclassified</t>
        </is>
      </c>
      <c r="M38" t="inlineStr">
        <is>
          <t xml:space="preserve"/>
        </is>
      </c>
      <c r="N38" t="inlineStr">
        <is>
          <t xml:space="preserve">Interventions &amp; supports</t>
        </is>
      </c>
      <c r="O38" t="inlineStr">
        <is>
          <t xml:space="preserve">0</t>
        </is>
      </c>
      <c r="P38" t="inlineStr">
        <is>
          <t xml:space="preserve"/>
        </is>
      </c>
      <c r="Q38" t="inlineStr">
        <is>
          <t xml:space="preserve">42888940</t>
        </is>
      </c>
      <c r="R38" s="3" t="str">
        <f>HYPERLINK("https://doi.org/10.1177/13623613261491797","10.1177/13623613261491797")</f>
        <v>10.1177/13623613261491797</v>
      </c>
      <c r="S38" s="3" t="str">
        <f>HYPERLINK("https://doi.org/10.1177/13623613261491797","open access")</f>
        <v>open access</v>
      </c>
      <c r="T38" t="inlineStr">
        <is>
          <t xml:space="preserve">"Our Principal Makes It Happen": The Role of Implementation Leadership in Supporting Evidence-Based Practices With Autistic Children in Inclusive Settings.</t>
        </is>
      </c>
      <c r="U38" s="3" t="str">
        <f>HYPERLINK("https://pubmed.ncbi.nlm.nih.gov/42888940/","https://pubmed.ncbi.nlm.nih.gov/42888940/")</f>
        <v>https://pubmed.ncbi.nlm.nih.gov/42888940/</v>
      </c>
      <c r="V38" t="inlineStr">
        <is>
          <t xml:space="preserve">With the growing inclusion of autistic children in general education settings, the need for effective use of evidence-based practices (EBPs) in schools has become increasingly important. Leadership behaviors by principals and administrators that support educators' use of EBPs with autistic children play a crucial role in promoting and sustaining these practices. This study aims to understand implementation leadership in schools quantitatively and qualitatively. In this mixed-methods study, participants included 161 general education teachers, 138 special education teachers, and 62 paraeducators (N = 361). Participants completed the School Implementation Leadership Scale (SILS), which assesses the degree to which their school leader is knowledgeable, supportive, proactive, perseverant, communicative, centered on the school's vision/mission, and available. Eighty-two participants were randomly selected for an interview to discuss their high or low EBP implementation. Quantitative analysis via aggregated mean scores on the SILS subscales (Total M = 2.4) shows educators rate their school's leadership qualities in the moderate range. Qualitative analysis provides insights into the educators' expressed needs and desires when it comes to support from their leadership. The results highlight the importance of strong leadership to improve the implementation of EBPs for autistic children in general education settings. Authors discuss implications and recommendations to support educators' EBP use.Lay AbstractAs more autistic children are included in general education classrooms, it is increasingly important for schools to use research-supported strategies known as evidence-based practices (EBPs). School leaders, such as principals and administrators, play a crucial role in helping teachers implement these practices consistently and effectively. This study aims to understand the perspectives of 361 educators, including 161 general education teachers, 138 special education teachers, and 62 paraeducators, regarding the support they receive from school leadership in using EBPs with autistic children. Participants completed a survey called the School Implementation Leadership Scale, which included questions about various leadership qualities, such as being knowledgeable, supportive, proactive, perseverant, communicative, aligned with the school's vision and mission, and available to support the use of EBPs. On average, educators rated their school leadership as moderately supportive. To further explore educators' experiences, selected participants were also invited to participate in interviews. These interviews provided deeper insights into what educators find most helpful from school administrators when implementing EBPs for autistic children. The results emphasize the importance of strong, supportive leadership in building a positive and inclusive school environment and helping educators use EBPs. The authors offer practical recommendations to help school administrators better support their staff in using EBPs.</t>
        </is>
      </c>
    </row>
    <row r="39">
      <c r="A39" t="inlineStr">
        <is>
          <t xml:space="preserve">2026-10-16</t>
        </is>
      </c>
      <c r="B39" t="inlineStr">
        <is>
          <t xml:space="preserve">2026-10-24</t>
        </is>
      </c>
      <c r="C39" t="inlineStr">
        <is>
          <t xml:space="preserve">Morgan PL</t>
        </is>
      </c>
      <c r="D39" t="inlineStr">
        <is>
          <t xml:space="preserve">Hu EH</t>
        </is>
      </c>
      <c r="E39" t="inlineStr">
        <is>
          <t xml:space="preserve">Morgan PL, Hu EH</t>
        </is>
      </c>
      <c r="F39" t="inlineStr">
        <is>
          <t xml:space="preserve">Autism</t>
        </is>
      </c>
      <c r="G39" t="inlineStr">
        <is>
          <t xml:space="preserve">7.5</t>
        </is>
      </c>
      <c r="H39" t="inlineStr">
        <is>
          <t xml:space="preserve">JCR impact factor</t>
        </is>
      </c>
      <c r="I39" t="inlineStr">
        <is>
          <t xml:space="preserve">177</t>
        </is>
      </c>
      <c r="J39" t="inlineStr">
        <is>
          <t xml:space="preserve">Behavioral &amp; Developmental</t>
        </is>
      </c>
      <c r="K39" t="inlineStr">
        <is>
          <t xml:space="preserve"/>
        </is>
      </c>
      <c r="L39" t="inlineStr">
        <is>
          <t xml:space="preserve">Unclassified</t>
        </is>
      </c>
      <c r="M39" t="inlineStr">
        <is>
          <t xml:space="preserve"/>
        </is>
      </c>
      <c r="N39" t="inlineStr">
        <is>
          <t xml:space="preserve">School, work &amp; adult life</t>
        </is>
      </c>
      <c r="O39" t="inlineStr">
        <is>
          <t xml:space="preserve">0</t>
        </is>
      </c>
      <c r="P39" t="inlineStr">
        <is>
          <t xml:space="preserve"/>
        </is>
      </c>
      <c r="Q39" t="inlineStr">
        <is>
          <t xml:space="preserve">42885509</t>
        </is>
      </c>
      <c r="R39" s="3" t="str">
        <f>HYPERLINK("https://doi.org/10.1177/13623613261489314","10.1177/13623613261489314")</f>
        <v>10.1177/13623613261489314</v>
      </c>
      <c r="S39" s="3" t="str">
        <f>HYPERLINK("https://journals.sagepub.com/doi/pdf/10.1177/13623613261489314?download=true","open access")</f>
        <v>open access</v>
      </c>
      <c r="T39" t="inlineStr">
        <is>
          <t xml:space="preserve">Intersectional Disparities in School-Based Autism Identification Are Occurring in U.S. Elementary Schools.</t>
        </is>
      </c>
      <c r="U39" s="3" t="str">
        <f>HYPERLINK("https://pubmed.ncbi.nlm.nih.gov/42885509/","https://pubmed.ncbi.nlm.nih.gov/42885509/")</f>
        <v>https://pubmed.ncbi.nlm.nih.gov/42885509/</v>
      </c>
      <c r="V39" t="inlineStr">
        <is>
          <t xml:space="preserve">We investigated whether intersections of race or ethnicity, gender, family income, and language use are associated with school-based autism identification (SBAI) in U.S. elementary schools. We estimated logistic and multilevel logistic regression models with interaction terms, adjusting for reading achievement and school contextual factors. We used school record of autism as a student's primary disability for which special education services were being provided to indicate SBAI. We analyzed a very large, aggregated sample of U.S. fourth graders (typically 9-10 years old; N = 1,419,440) participating in the National Assessment of Educational Progress across 2005 to 2022. The sample included stratified subsamples of Black (n = 246,040), Hispanic (n = 273,620), Asian/Pacific Islander (n = 68,800), and White (n = 759,800) students. Within the racial and ethnic groups, girls (adjusted odds ratio [aOR] range = 0.10-0.27) and those from low-income families (aOR = 0.21-0.60) were less likely to be identified. Among Hispanic and White students, MLs were less likely to be identified (aOR 0.57 and aOR = 0.40, respectively). Attending schools with greater percentages of low-income students was associated with lower odds of SBAI (aOR range = 0.73-0.81). Among Black, Hispanic, and White students, those attending schools with greater percentages of special education students were more likely to be identified (aOR = 1.16-1.23). Overall, Black and Hispanic girls, low-income Black and other race or ethnicity students, and White and Hispanic multilingual learners (MLs) had especially low odds of SBAI. Intersectional disparities are occurring in SBAI in U.S. elementary schools.Lay AbstractWe examined how multiple social positions across race and ethnicity, gender, family income, and language use are associated with whether students were identified with autism in U.S. elementary schools. We analyzed a very large, aggregated sample of U.S. fourth graders (typically 9-10 years old; N = 1,419,440) participating in the National Assessment of Educational Progress across 2005 to 2022. The sample included stratified subsamples of Black (n = 246,040), Hispanic (n = 273,620), Asian/Pacific Islander (n = 68,800), and White (n = 759,800) students. We used school record of autism as a student's primary disability for which special education services were being provided to indicate school-based autism identification (SBAI). The analyses adjusted for student academic achievement, school contextual factors, and other alternative explanatory factors. We repeatedly observed interactions between race or ethnicity and family income. Girls and those from low-income families were consistently less likely to be identified with autism including within samples of Black, Hispanic, Asian/Pacific Islander (PI), and White students. Black and Hispanic girls, low-income Black and other race or ethnicity students, and White and Hispanic multilingual learners (MLs) had especially low odds of being identified. Students across the racial and ethnic groups were less likely to be identified with autism when attending schools attended by higher percentages of low-income students. Students also were less likely to be identified in schools when their race or ethnicity was the same as those of other attending students. Our findings repeatedly indicate that intersectional disparities in SBAI are occurring in U.S. elementary schools. Referral practices, evaluation and eligibility procedures, and resource allocation and outreach efforts may need to address intersectional disparities to ensure that multiply marginalized student populations have equal access to autism services and supports in U.S. elementary schools.</t>
        </is>
      </c>
    </row>
    <row r="40">
      <c r="A40" t="inlineStr">
        <is>
          <t xml:space="preserve">2026-10-23</t>
        </is>
      </c>
      <c r="B40" t="inlineStr">
        <is>
          <t xml:space="preserve">2026-10-24</t>
        </is>
      </c>
      <c r="C40" t="inlineStr">
        <is>
          <t xml:space="preserve">Aguado-Gracia J</t>
        </is>
      </c>
      <c r="D40" t="inlineStr">
        <is>
          <t xml:space="preserve">Calvo Escalona R</t>
        </is>
      </c>
      <c r="E40" t="inlineStr">
        <is>
          <t xml:space="preserve">Aguado-Gracia J, Borràs R, Calvo Escalona R</t>
        </is>
      </c>
      <c r="F40" t="inlineStr">
        <is>
          <t xml:space="preserve">Journal of Autism and Developmental Disorders</t>
        </is>
      </c>
      <c r="G40" t="inlineStr">
        <is>
          <t xml:space="preserve">3.2</t>
        </is>
      </c>
      <c r="H40" t="inlineStr">
        <is>
          <t xml:space="preserve">JCR impact factor</t>
        </is>
      </c>
      <c r="I40" t="inlineStr">
        <is>
          <t xml:space="preserve">301</t>
        </is>
      </c>
      <c r="J40" t="inlineStr">
        <is>
          <t xml:space="preserve">Behavioral &amp; Developmental</t>
        </is>
      </c>
      <c r="K40" t="inlineStr">
        <is>
          <t xml:space="preserve"/>
        </is>
      </c>
      <c r="L40" t="inlineStr">
        <is>
          <t xml:space="preserve">Other</t>
        </is>
      </c>
      <c r="M40" t="inlineStr">
        <is>
          <t xml:space="preserve"/>
        </is>
      </c>
      <c r="N40" t="inlineStr">
        <is>
          <t xml:space="preserve"/>
        </is>
      </c>
      <c r="O40" t="inlineStr">
        <is>
          <t xml:space="preserve">0</t>
        </is>
      </c>
      <c r="P40" t="inlineStr">
        <is>
          <t xml:space="preserve"/>
        </is>
      </c>
      <c r="Q40" t="inlineStr">
        <is>
          <t xml:space="preserve">42909748</t>
        </is>
      </c>
      <c r="R40" s="3" t="str">
        <f>HYPERLINK("https://doi.org/10.1007/s10803-026-07578-9","10.1007/s10803-026-07578-9")</f>
        <v>10.1007/s10803-026-07578-9</v>
      </c>
      <c r="S40" s="3" t="str">
        <f>HYPERLINK("https://link.springer.com/content/pdf/10.1007/s10803-026-07578-9.pdf","open access")</f>
        <v>open access</v>
      </c>
      <c r="T40" t="inlineStr">
        <is>
          <t xml:space="preserve">Correction to: Differential Associations of Adversity and Victimisation With Psychotic Experiences in Autistic Adolescents.</t>
        </is>
      </c>
      <c r="U40" s="3" t="str">
        <f>HYPERLINK("https://pubmed.ncbi.nlm.nih.gov/42909748/","https://pubmed.ncbi.nlm.nih.gov/42909748/")</f>
        <v>https://pubmed.ncbi.nlm.nih.gov/42909748/</v>
      </c>
      <c r="V40" t="inlineStr">
        <is>
          <t xml:space="preserve"/>
        </is>
      </c>
    </row>
    <row r="41">
      <c r="A41" t="inlineStr">
        <is>
          <t xml:space="preserve">2026-10-23</t>
        </is>
      </c>
      <c r="B41" t="inlineStr">
        <is>
          <t xml:space="preserve">2026-10-24</t>
        </is>
      </c>
      <c r="C41" t="inlineStr">
        <is>
          <t xml:space="preserve">Babalola TT</t>
        </is>
      </c>
      <c r="D41" t="inlineStr">
        <is>
          <t xml:space="preserve">Botting N</t>
        </is>
      </c>
      <c r="E41" t="inlineStr">
        <is>
          <t xml:space="preserve">Babalola TT, Moss R, Dipper L, et al.</t>
        </is>
      </c>
      <c r="F41" t="inlineStr">
        <is>
          <t xml:space="preserve">Journal of Autism and Developmental Disorders</t>
        </is>
      </c>
      <c r="G41" t="inlineStr">
        <is>
          <t xml:space="preserve">3.2</t>
        </is>
      </c>
      <c r="H41" t="inlineStr">
        <is>
          <t xml:space="preserve">JCR impact factor</t>
        </is>
      </c>
      <c r="I41" t="inlineStr">
        <is>
          <t xml:space="preserve">301</t>
        </is>
      </c>
      <c r="J41" t="inlineStr">
        <is>
          <t xml:space="preserve">Behavioral &amp; Developmental</t>
        </is>
      </c>
      <c r="K41" t="inlineStr">
        <is>
          <t xml:space="preserve"/>
        </is>
      </c>
      <c r="L41" t="inlineStr">
        <is>
          <t xml:space="preserve">Unclassified</t>
        </is>
      </c>
      <c r="M41" t="inlineStr">
        <is>
          <t xml:space="preserve"/>
        </is>
      </c>
      <c r="N41" t="inlineStr">
        <is>
          <t xml:space="preserve">Parents, caregivers &amp; family, Lived experience &amp; qualitative</t>
        </is>
      </c>
      <c r="O41" t="inlineStr">
        <is>
          <t xml:space="preserve">0</t>
        </is>
      </c>
      <c r="P41" t="inlineStr">
        <is>
          <t xml:space="preserve"/>
        </is>
      </c>
      <c r="Q41" t="inlineStr">
        <is>
          <t xml:space="preserve">42909747</t>
        </is>
      </c>
      <c r="R41" s="3" t="str">
        <f>HYPERLINK("https://doi.org/10.1007/s10803-026-07533-8","10.1007/s10803-026-07533-8")</f>
        <v>10.1007/s10803-026-07533-8</v>
      </c>
      <c r="S41" s="3" t="str">
        <f>HYPERLINK("https://link.springer.com/content/pdf/10.1007/s10803-026-07533-8.pdf","open access")</f>
        <v>open access</v>
      </c>
      <c r="T41" t="inlineStr">
        <is>
          <t xml:space="preserve">Understanding Healthcare Access for Autistic Children in the UK: Perspectives From Parents and Healthcare Professionals.</t>
        </is>
      </c>
      <c r="U41" s="3" t="str">
        <f>HYPERLINK("https://pubmed.ncbi.nlm.nih.gov/42909747/","https://pubmed.ncbi.nlm.nih.gov/42909747/")</f>
        <v>https://pubmed.ncbi.nlm.nih.gov/42909747/</v>
      </c>
      <c r="V41" t="inlineStr">
        <is>
          <t xml:space="preserve">Access to healthcare for autistic children remains challenging, with previous qualitative and quantitative research identifying barriers across individual, provider, and system levels. This study used qualitative interviews to explore parents'/carers' and healthcare professionals' perspectives on healthcare accessibility for autistic children in the UK, with particular attention to barriers, facilitators, and areas of convergence and divergence between the two groups. A phenomenologically informed qualitative approach was employed. Semi-structured interviews were conducted online with 12 parents/carers of autistic children and eight healthcare professionals, including general practitioners, nurses, and speech and language therapists. Participants were recruited through survey follow-up, social media, and snowball sampling. Data were analysed using inductive, phenomenologically informed reflexive thematic analysis, with NVivo 14 used to manage the data. Four themes were identified across the parent/carer and healthcare professional datasets: knowledge and training, reasonable adjustments, communication, and system-level barriers. Both groups recognised barriers associated with inconsistent autism-specific knowledge, communication, service pressures, and fragmented care, but differed in emphasis. Parents/carers more often described the consequences of unmet needs and inconsistent adjustments, whereas healthcare professionals emphasised workload pressures, variable training, and the need to adapt care within existing service constraints. This study highlights the urgent need for addressing systemic inefficiencies, flexibility in healthcare services, and individualised approaches to meet the needs of autistic children and their families to ensure equitable access to healthcare for autistic children in the UK.</t>
        </is>
      </c>
    </row>
    <row r="42">
      <c r="A42" t="inlineStr">
        <is>
          <t xml:space="preserve">2026-10-23</t>
        </is>
      </c>
      <c r="B42" t="inlineStr">
        <is>
          <t xml:space="preserve">2026-10-24</t>
        </is>
      </c>
      <c r="C42" t="inlineStr">
        <is>
          <t xml:space="preserve">Cardelle-Pérez F</t>
        </is>
      </c>
      <c r="D42" t="inlineStr">
        <is>
          <t xml:space="preserve">Leal-Hernández M</t>
        </is>
      </c>
      <c r="E42" t="inlineStr">
        <is>
          <t xml:space="preserve">Cardelle-Pérez F, Banacloig-Delgado C, Muros-Cobos NI, et al.</t>
        </is>
      </c>
      <c r="F42" t="inlineStr">
        <is>
          <t xml:space="preserve">Journal of Autism and Developmental Disorders</t>
        </is>
      </c>
      <c r="G42" t="inlineStr">
        <is>
          <t xml:space="preserve">3.2</t>
        </is>
      </c>
      <c r="H42" t="inlineStr">
        <is>
          <t xml:space="preserve">JCR impact factor</t>
        </is>
      </c>
      <c r="I42" t="inlineStr">
        <is>
          <t xml:space="preserve">301</t>
        </is>
      </c>
      <c r="J42" t="inlineStr">
        <is>
          <t xml:space="preserve">Behavioral &amp; Developmental</t>
        </is>
      </c>
      <c r="K42" t="inlineStr">
        <is>
          <t xml:space="preserve"/>
        </is>
      </c>
      <c r="L42" t="inlineStr">
        <is>
          <t xml:space="preserve">Clinical observation</t>
        </is>
      </c>
      <c r="M42" t="inlineStr">
        <is>
          <t xml:space="preserve"/>
        </is>
      </c>
      <c r="N42" t="inlineStr">
        <is>
          <t xml:space="preserve">Interventions &amp; supports, School, work &amp; adult life</t>
        </is>
      </c>
      <c r="O42" t="inlineStr">
        <is>
          <t xml:space="preserve">0</t>
        </is>
      </c>
      <c r="P42" t="inlineStr">
        <is>
          <t xml:space="preserve"/>
        </is>
      </c>
      <c r="Q42" t="inlineStr">
        <is>
          <t xml:space="preserve">42909746</t>
        </is>
      </c>
      <c r="R42" s="3" t="str">
        <f>HYPERLINK("https://doi.org/10.1007/s10803-026-07587-8","10.1007/s10803-026-07587-8")</f>
        <v>10.1007/s10803-026-07587-8</v>
      </c>
      <c r="S42" t="inlineStr">
        <is>
          <t xml:space="preserve"/>
        </is>
      </c>
      <c r="T42" t="inlineStr">
        <is>
          <t xml:space="preserve">Brief Report: User Participation in the Iterative Co-Design of Public Child Mental Health Services.</t>
        </is>
      </c>
      <c r="U42" s="3" t="str">
        <f>HYPERLINK("https://pubmed.ncbi.nlm.nih.gov/42909746/","https://pubmed.ncbi.nlm.nih.gov/42909746/")</f>
        <v>https://pubmed.ncbi.nlm.nih.gov/42909746/</v>
      </c>
      <c r="V42" t="inlineStr">
        <is>
          <t xml:space="preserve">Service planning should necessarily involve the community. This brief report presents parental feedback collected after a psychoeducational group for parents of children with autism spectrum disorder (ASD) and places these observations within recent literature on participatory co-design. At the end of the psychoeducational group, parents completed the Client Satisfaction Questionnaire (CSQ-8) and were invited to provide optional free-text comments. The results show a high level of satisfaction with the intervention, and subjective observations of interest were collected. Collected feedback illustrates how parental input can guide iterative, user-centered improvements in public ASD services. More research is needed on what are the most appropriate means to integrate the experience of patients and their families into a process of continuous improvement that a public child and adolescent mental health resource should undergo.</t>
        </is>
      </c>
    </row>
  </sheetData>
  <autoFilter ref="A2:V42"/>
</worksheet>
</file>

<file path=xl/worksheets/sheet3.xml><?xml version="1.0" encoding="utf-8"?>
<worksheet xmlns="http://schemas.openxmlformats.org/spreadsheetml/2006/main">
  <dimension ref="A1:P436"/>
  <sheetViews>
    <sheetView workbookViewId="0">
      <pane ySplit="2" topLeftCell="A3" activePane="bottomLeft" state="frozen"/>
    </sheetView>
  </sheetViews>
  <cols>
    <col min="1" max="1" width="13"/>
    <col min="2" max="2" width="21"/>
    <col min="3" max="3" width="70"/>
    <col min="4" max="4" width="37"/>
    <col min="5" max="5" width="70"/>
    <col min="6" max="6" width="63"/>
    <col min="7" max="7" width="20"/>
    <col min="8" max="8" width="9"/>
    <col min="9" max="9" width="9"/>
    <col min="10" max="10" width="70"/>
    <col min="11" max="11" width="13"/>
    <col min="12" max="12" width="13"/>
    <col min="13" max="13" width="12"/>
    <col min="14" max="14" width="12"/>
    <col min="15" max="15" width="70"/>
    <col min="16" max="16" width="51"/>
  </cols>
  <sheetData>
    <row r="1">
      <c r="A1" s="2" t="inlineStr">
        <is>
          <t xml:space="preserve">NIH grants — last 90 days (2026-07-30 to 2026-10-28) · counts when: notice of award date</t>
        </is>
      </c>
    </row>
    <row r="2">
      <c r="A2" s="1" t="inlineStr">
        <is>
          <t xml:space="preserve">Notice date</t>
        </is>
      </c>
      <c r="B2" s="1" t="inlineStr">
        <is>
          <t xml:space="preserve">Project number</t>
        </is>
      </c>
      <c r="C2" s="1" t="inlineStr">
        <is>
          <t xml:space="preserve">Title</t>
        </is>
      </c>
      <c r="D2" s="1" t="inlineStr">
        <is>
          <t xml:space="preserve">Contact PI</t>
        </is>
      </c>
      <c r="E2" s="1" t="inlineStr">
        <is>
          <t xml:space="preserve">All PIs</t>
        </is>
      </c>
      <c r="F2" s="1" t="inlineStr">
        <is>
          <t xml:space="preserve">Organization</t>
        </is>
      </c>
      <c r="G2" s="1" t="inlineStr">
        <is>
          <t xml:space="preserve">City</t>
        </is>
      </c>
      <c r="H2" s="1" t="inlineStr">
        <is>
          <t xml:space="preserve">State</t>
        </is>
      </c>
      <c r="I2" s="1" t="inlineStr">
        <is>
          <t xml:space="preserve">IC</t>
        </is>
      </c>
      <c r="J2" s="1" t="inlineStr">
        <is>
          <t xml:space="preserve">Institute / Center</t>
        </is>
      </c>
      <c r="K2" s="1" t="inlineStr">
        <is>
          <t xml:space="preserve">Fiscal year</t>
        </is>
      </c>
      <c r="L2" s="1" t="inlineStr">
        <is>
          <t xml:space="preserve">Award (USD)</t>
        </is>
      </c>
      <c r="M2" s="1" t="inlineStr">
        <is>
          <t xml:space="preserve">Start</t>
        </is>
      </c>
      <c r="N2" s="1" t="inlineStr">
        <is>
          <t xml:space="preserve">End</t>
        </is>
      </c>
      <c r="O2" s="1" t="inlineStr">
        <is>
          <t xml:space="preserve">Modalities</t>
        </is>
      </c>
      <c r="P2" s="1" t="inlineStr">
        <is>
          <t xml:space="preserve">URL</t>
        </is>
      </c>
    </row>
    <row r="3">
      <c r="A3" t="inlineStr">
        <is>
          <t xml:space="preserve">2026-09-23</t>
        </is>
      </c>
      <c r="B3" t="inlineStr">
        <is>
          <t xml:space="preserve">1R01FD008531-01A1</t>
        </is>
      </c>
      <c r="C3" t="inlineStr">
        <is>
          <t xml:space="preserve">A Randomized Controlled Double-Blind Trial of Everolimus for ImprovingSocial Abilities in PTEN Germline Mutations</t>
        </is>
      </c>
      <c r="D3" t="inlineStr">
        <is>
          <t xml:space="preserve">ANTONIO HARDAN</t>
        </is>
      </c>
      <c r="E3" t="inlineStr">
        <is>
          <t xml:space="preserve">ANTONIO HARDAN</t>
        </is>
      </c>
      <c r="F3" t="inlineStr">
        <is>
          <t xml:space="preserve">STANFORD UNIVERSITY</t>
        </is>
      </c>
      <c r="G3" t="inlineStr">
        <is>
          <t xml:space="preserve">STANFORD</t>
        </is>
      </c>
      <c r="H3" t="inlineStr">
        <is>
          <t xml:space="preserve">CA</t>
        </is>
      </c>
      <c r="I3" t="inlineStr">
        <is>
          <t xml:space="preserve">FDA</t>
        </is>
      </c>
      <c r="J3" t="inlineStr">
        <is>
          <t xml:space="preserve">Food and Drug Administration</t>
        </is>
      </c>
      <c r="K3" t="inlineStr">
        <is>
          <t xml:space="preserve">2026</t>
        </is>
      </c>
      <c r="L3" t="inlineStr">
        <is>
          <t xml:space="preserve">647968</t>
        </is>
      </c>
      <c r="M3" t="inlineStr">
        <is>
          <t xml:space="preserve">2026-07-01</t>
        </is>
      </c>
      <c r="N3" t="inlineStr">
        <is>
          <t xml:space="preserve">2030-06-30</t>
        </is>
      </c>
      <c r="O3" t="inlineStr">
        <is>
          <t xml:space="preserve">Small molecule</t>
        </is>
      </c>
      <c r="P3" s="3" t="str">
        <f>HYPERLINK("https://reporter.nih.gov/project-details/11444115","https://reporter.nih.gov/project-details/11444115")</f>
        <v>https://reporter.nih.gov/project-details/11444115</v>
      </c>
    </row>
    <row r="4">
      <c r="A4" t="inlineStr">
        <is>
          <t xml:space="preserve">2026-09-19</t>
        </is>
      </c>
      <c r="B4" t="inlineStr">
        <is>
          <t xml:space="preserve">1R01NS152315-01</t>
        </is>
      </c>
      <c r="C4" t="inlineStr">
        <is>
          <t xml:space="preserve">Resolving MYT1L Variant Heterogeneity Through Cross-Species Molecular Neurogenetics and Drug Discovery</t>
        </is>
      </c>
      <c r="D4" t="inlineStr">
        <is>
          <t xml:space="preserve">Kristen L Kroll</t>
        </is>
      </c>
      <c r="E4" t="inlineStr">
        <is>
          <t xml:space="preserve">Kristen L Kroll; Susan Eileen Maloney</t>
        </is>
      </c>
      <c r="F4" t="inlineStr">
        <is>
          <t xml:space="preserve">WASHINGTON UNIVERSITY</t>
        </is>
      </c>
      <c r="G4" t="inlineStr">
        <is>
          <t xml:space="preserve">SAINT LOUIS</t>
        </is>
      </c>
      <c r="H4" t="inlineStr">
        <is>
          <t xml:space="preserve">MO</t>
        </is>
      </c>
      <c r="I4" t="inlineStr">
        <is>
          <t xml:space="preserve">NINDS</t>
        </is>
      </c>
      <c r="J4" t="inlineStr">
        <is>
          <t xml:space="preserve">National Institute of Neurological Disorders and Stroke</t>
        </is>
      </c>
      <c r="K4" t="inlineStr">
        <is>
          <t xml:space="preserve">2026</t>
        </is>
      </c>
      <c r="L4" t="inlineStr">
        <is>
          <t xml:space="preserve">617430</t>
        </is>
      </c>
      <c r="M4" t="inlineStr">
        <is>
          <t xml:space="preserve">2026-09-21</t>
        </is>
      </c>
      <c r="N4" t="inlineStr">
        <is>
          <t xml:space="preserve">2031-07-31</t>
        </is>
      </c>
      <c r="O4" t="inlineStr">
        <is>
          <t xml:space="preserve">Small molecule</t>
        </is>
      </c>
      <c r="P4" s="3" t="str">
        <f>HYPERLINK("https://reporter.nih.gov/project-details/11488097","https://reporter.nih.gov/project-details/11488097")</f>
        <v>https://reporter.nih.gov/project-details/11488097</v>
      </c>
    </row>
    <row r="5">
      <c r="A5" t="inlineStr">
        <is>
          <t xml:space="preserve">2026-09-18</t>
        </is>
      </c>
      <c r="B5" t="inlineStr">
        <is>
          <t xml:space="preserve">1R56DC023225-01A1</t>
        </is>
      </c>
      <c r="C5" t="inlineStr">
        <is>
          <t xml:space="preserve">Neural bases of semantic language challenges in autism</t>
        </is>
      </c>
      <c r="D5" t="inlineStr">
        <is>
          <t xml:space="preserve">Anila DMello</t>
        </is>
      </c>
      <c r="E5" t="inlineStr">
        <is>
          <t xml:space="preserve">Anila DMello</t>
        </is>
      </c>
      <c r="F5" t="inlineStr">
        <is>
          <t xml:space="preserve">UT SOUTHWESTERN MEDICAL CENTER</t>
        </is>
      </c>
      <c r="G5" t="inlineStr">
        <is>
          <t xml:space="preserve">DALLAS</t>
        </is>
      </c>
      <c r="H5" t="inlineStr">
        <is>
          <t xml:space="preserve">TX</t>
        </is>
      </c>
      <c r="I5" t="inlineStr">
        <is>
          <t xml:space="preserve">NIDCD</t>
        </is>
      </c>
      <c r="J5" t="inlineStr">
        <is>
          <t xml:space="preserve">National Institute on Deafness and Other Communication Disorders</t>
        </is>
      </c>
      <c r="K5" t="inlineStr">
        <is>
          <t xml:space="preserve">2026</t>
        </is>
      </c>
      <c r="L5" t="inlineStr">
        <is>
          <t xml:space="preserve">659399</t>
        </is>
      </c>
      <c r="M5" t="inlineStr">
        <is>
          <t xml:space="preserve">2026-09-18</t>
        </is>
      </c>
      <c r="N5" t="inlineStr">
        <is>
          <t xml:space="preserve">2027-08-31</t>
        </is>
      </c>
      <c r="O5" t="inlineStr">
        <is>
          <t xml:space="preserve">Behavioral</t>
        </is>
      </c>
      <c r="P5" s="3" t="str">
        <f>HYPERLINK("https://reporter.nih.gov/project-details/11640092","https://reporter.nih.gov/project-details/11640092")</f>
        <v>https://reporter.nih.gov/project-details/11640092</v>
      </c>
    </row>
    <row r="6">
      <c r="A6" t="inlineStr">
        <is>
          <t xml:space="preserve">2026-09-18</t>
        </is>
      </c>
      <c r="B6" t="inlineStr">
        <is>
          <t xml:space="preserve">1R01HD121736-01</t>
        </is>
      </c>
      <c r="C6" t="inlineStr">
        <is>
          <t xml:space="preserve">Digital Phenotyping of Early Development in Neurogenetic Conditions</t>
        </is>
      </c>
      <c r="D6" t="inlineStr">
        <is>
          <t xml:space="preserve">Bridgette Lynne Kelleher</t>
        </is>
      </c>
      <c r="E6" t="inlineStr">
        <is>
          <t xml:space="preserve">Bridgette Lynne Kelleher</t>
        </is>
      </c>
      <c r="F6" t="inlineStr">
        <is>
          <t xml:space="preserve">INDIANA UNIVERSITY INDIANAPOLIS</t>
        </is>
      </c>
      <c r="G6" t="inlineStr">
        <is>
          <t xml:space="preserve">INDIANAPOLIS</t>
        </is>
      </c>
      <c r="H6" t="inlineStr">
        <is>
          <t xml:space="preserve">IN</t>
        </is>
      </c>
      <c r="I6" t="inlineStr">
        <is>
          <t xml:space="preserve">NICHD</t>
        </is>
      </c>
      <c r="J6" t="inlineStr">
        <is>
          <t xml:space="preserve">Eunice Kennedy Shriver National Institute of Child Health and Human Development</t>
        </is>
      </c>
      <c r="K6" t="inlineStr">
        <is>
          <t xml:space="preserve">2026</t>
        </is>
      </c>
      <c r="L6" t="inlineStr">
        <is>
          <t xml:space="preserve">737178</t>
        </is>
      </c>
      <c r="M6" t="inlineStr">
        <is>
          <t xml:space="preserve">2026-09-23</t>
        </is>
      </c>
      <c r="N6" t="inlineStr">
        <is>
          <t xml:space="preserve">2031-07-31</t>
        </is>
      </c>
      <c r="O6" t="inlineStr">
        <is>
          <t xml:space="preserve">Behavioral</t>
        </is>
      </c>
      <c r="P6" s="3" t="str">
        <f>HYPERLINK("https://reporter.nih.gov/project-details/11343765","https://reporter.nih.gov/project-details/11343765")</f>
        <v>https://reporter.nih.gov/project-details/11343765</v>
      </c>
    </row>
    <row r="7">
      <c r="A7" t="inlineStr">
        <is>
          <t xml:space="preserve">2026-09-17</t>
        </is>
      </c>
      <c r="B7" t="inlineStr">
        <is>
          <t xml:space="preserve">2R01MH118362-06A1</t>
        </is>
      </c>
      <c r="C7" t="inlineStr">
        <is>
          <t xml:space="preserve">MRI-Based Presymptomatic Prediction of ASD, and Early Infant to School-Age Brain-Behavior Trajectories, Mechanisms, and Related Outcomes</t>
        </is>
      </c>
      <c r="D7" t="inlineStr">
        <is>
          <t xml:space="preserve">John R Pruett</t>
        </is>
      </c>
      <c r="E7" t="inlineStr">
        <is>
          <t xml:space="preserve">John R Pruett</t>
        </is>
      </c>
      <c r="F7" t="inlineStr">
        <is>
          <t xml:space="preserve">WASHINGTON UNIVERSITY</t>
        </is>
      </c>
      <c r="G7" t="inlineStr">
        <is>
          <t xml:space="preserve">SAINT LOUIS</t>
        </is>
      </c>
      <c r="H7" t="inlineStr">
        <is>
          <t xml:space="preserve">MO</t>
        </is>
      </c>
      <c r="I7" t="inlineStr">
        <is>
          <t xml:space="preserve">NIMH</t>
        </is>
      </c>
      <c r="J7" t="inlineStr">
        <is>
          <t xml:space="preserve">National Institute of Mental Health</t>
        </is>
      </c>
      <c r="K7" t="inlineStr">
        <is>
          <t xml:space="preserve">2026</t>
        </is>
      </c>
      <c r="L7" t="inlineStr">
        <is>
          <t xml:space="preserve">3050198</t>
        </is>
      </c>
      <c r="M7" t="inlineStr">
        <is>
          <t xml:space="preserve">2019-04-01</t>
        </is>
      </c>
      <c r="N7" t="inlineStr">
        <is>
          <t xml:space="preserve">2031-06-30</t>
        </is>
      </c>
      <c r="O7" t="inlineStr">
        <is>
          <t xml:space="preserve">Behavioral</t>
        </is>
      </c>
      <c r="P7" s="3" t="str">
        <f>HYPERLINK("https://reporter.nih.gov/project-details/11293908","https://reporter.nih.gov/project-details/11293908")</f>
        <v>https://reporter.nih.gov/project-details/11293908</v>
      </c>
    </row>
    <row r="8">
      <c r="A8" t="inlineStr">
        <is>
          <t xml:space="preserve">2026-09-17</t>
        </is>
      </c>
      <c r="B8" t="inlineStr">
        <is>
          <t xml:space="preserve">1R01MH138324-01A1</t>
        </is>
      </c>
      <c r="C8" t="inlineStr">
        <is>
          <t xml:space="preserve">Tiered Approach to Autism Diagnoses</t>
        </is>
      </c>
      <c r="D8" t="inlineStr">
        <is>
          <t xml:space="preserve">Andrea Trubanova Wieckowski</t>
        </is>
      </c>
      <c r="E8" t="inlineStr">
        <is>
          <t xml:space="preserve">Andrea Trubanova Wieckowski</t>
        </is>
      </c>
      <c r="F8" t="inlineStr">
        <is>
          <t xml:space="preserve">DREXEL UNIVERSITY</t>
        </is>
      </c>
      <c r="G8" t="inlineStr">
        <is>
          <t xml:space="preserve">PHILADELPHIA</t>
        </is>
      </c>
      <c r="H8" t="inlineStr">
        <is>
          <t xml:space="preserve">PA</t>
        </is>
      </c>
      <c r="I8" t="inlineStr">
        <is>
          <t xml:space="preserve">NIMH</t>
        </is>
      </c>
      <c r="J8" t="inlineStr">
        <is>
          <t xml:space="preserve">National Institute of Mental Health</t>
        </is>
      </c>
      <c r="K8" t="inlineStr">
        <is>
          <t xml:space="preserve">2026</t>
        </is>
      </c>
      <c r="L8" t="inlineStr">
        <is>
          <t xml:space="preserve">739249</t>
        </is>
      </c>
      <c r="M8" t="inlineStr">
        <is>
          <t xml:space="preserve">2026-09-15</t>
        </is>
      </c>
      <c r="N8" t="inlineStr">
        <is>
          <t xml:space="preserve">2031-06-30</t>
        </is>
      </c>
      <c r="O8" t="inlineStr">
        <is>
          <t xml:space="preserve">Behavioral</t>
        </is>
      </c>
      <c r="P8" s="3" t="str">
        <f>HYPERLINK("https://reporter.nih.gov/project-details/11225356","https://reporter.nih.gov/project-details/11225356")</f>
        <v>https://reporter.nih.gov/project-details/11225356</v>
      </c>
    </row>
    <row r="9">
      <c r="A9" t="inlineStr">
        <is>
          <t xml:space="preserve">2026-09-17</t>
        </is>
      </c>
      <c r="B9" t="inlineStr">
        <is>
          <t xml:space="preserve">1R56DC023878-01</t>
        </is>
      </c>
      <c r="C9" t="inlineStr">
        <is>
          <t xml:space="preserve">Illuminating Motor and Language Capacities in Minimally Speaking Autistic Individuals with Wearable Imaging</t>
        </is>
      </c>
      <c r="D9" t="inlineStr">
        <is>
          <t xml:space="preserve">Stewart H Mostofsky</t>
        </is>
      </c>
      <c r="E9" t="inlineStr">
        <is>
          <t xml:space="preserve">Stewart H Mostofsky</t>
        </is>
      </c>
      <c r="F9" t="inlineStr">
        <is>
          <t xml:space="preserve">HUGO W. MOSER RES INST KENNEDY KRIEGER</t>
        </is>
      </c>
      <c r="G9" t="inlineStr">
        <is>
          <t xml:space="preserve">BALTIMORE</t>
        </is>
      </c>
      <c r="H9" t="inlineStr">
        <is>
          <t xml:space="preserve">MD</t>
        </is>
      </c>
      <c r="I9" t="inlineStr">
        <is>
          <t xml:space="preserve">NIDCD</t>
        </is>
      </c>
      <c r="J9" t="inlineStr">
        <is>
          <t xml:space="preserve">National Institute on Deafness and Other Communication Disorders</t>
        </is>
      </c>
      <c r="K9" t="inlineStr">
        <is>
          <t xml:space="preserve">2026</t>
        </is>
      </c>
      <c r="L9" t="inlineStr">
        <is>
          <t xml:space="preserve">668561</t>
        </is>
      </c>
      <c r="M9" t="inlineStr">
        <is>
          <t xml:space="preserve">2026-09-17</t>
        </is>
      </c>
      <c r="N9" t="inlineStr">
        <is>
          <t xml:space="preserve">2027-08-31</t>
        </is>
      </c>
      <c r="O9" t="inlineStr">
        <is>
          <t xml:space="preserve">Device / stimulation</t>
        </is>
      </c>
      <c r="P9" s="3" t="str">
        <f>HYPERLINK("https://reporter.nih.gov/project-details/11629769","https://reporter.nih.gov/project-details/11629769")</f>
        <v>https://reporter.nih.gov/project-details/11629769</v>
      </c>
    </row>
    <row r="10">
      <c r="A10" t="inlineStr">
        <is>
          <t xml:space="preserve">2026-09-17</t>
        </is>
      </c>
      <c r="B10" t="inlineStr">
        <is>
          <t xml:space="preserve">1R56NS150712-01</t>
        </is>
      </c>
      <c r="C10" t="inlineStr">
        <is>
          <t xml:space="preserve">Molecular mechanisms by which glia engulf neuron-endings</t>
        </is>
      </c>
      <c r="D10" t="inlineStr">
        <is>
          <t xml:space="preserve">Aakanksha Singhvi</t>
        </is>
      </c>
      <c r="E10" t="inlineStr">
        <is>
          <t xml:space="preserve">Aakanksha Singhvi</t>
        </is>
      </c>
      <c r="F10" t="inlineStr">
        <is>
          <t xml:space="preserve">FRED HUTCHINSON CANCER CENTER</t>
        </is>
      </c>
      <c r="G10" t="inlineStr">
        <is>
          <t xml:space="preserve">SEATTLE</t>
        </is>
      </c>
      <c r="H10" t="inlineStr">
        <is>
          <t xml:space="preserve">WA</t>
        </is>
      </c>
      <c r="I10" t="inlineStr">
        <is>
          <t xml:space="preserve">NINDS</t>
        </is>
      </c>
      <c r="J10" t="inlineStr">
        <is>
          <t xml:space="preserve">National Institute of Neurological Disorders and Stroke</t>
        </is>
      </c>
      <c r="K10" t="inlineStr">
        <is>
          <t xml:space="preserve">2026</t>
        </is>
      </c>
      <c r="L10" t="inlineStr">
        <is>
          <t xml:space="preserve">609484</t>
        </is>
      </c>
      <c r="M10" t="inlineStr">
        <is>
          <t xml:space="preserve">2026-09-16</t>
        </is>
      </c>
      <c r="N10" t="inlineStr">
        <is>
          <t xml:space="preserve">2027-06-30</t>
        </is>
      </c>
      <c r="O10" t="inlineStr">
        <is>
          <t xml:space="preserve"/>
        </is>
      </c>
      <c r="P10" s="3" t="str">
        <f>HYPERLINK("https://reporter.nih.gov/project-details/11631075","https://reporter.nih.gov/project-details/11631075")</f>
        <v>https://reporter.nih.gov/project-details/11631075</v>
      </c>
    </row>
    <row r="11">
      <c r="A11" t="inlineStr">
        <is>
          <t xml:space="preserve">2026-09-17</t>
        </is>
      </c>
      <c r="B11" t="inlineStr">
        <is>
          <t xml:space="preserve">2R01MH092931-16</t>
        </is>
      </c>
      <c r="C11" t="inlineStr">
        <is>
          <t xml:space="preserve">Induced neuronal cells: A novel tool to study neuropsychiatric diseases</t>
        </is>
      </c>
      <c r="D11" t="inlineStr">
        <is>
          <t xml:space="preserve">Marius Wernig</t>
        </is>
      </c>
      <c r="E11" t="inlineStr">
        <is>
          <t xml:space="preserve">Thomas C. Sudhof; Marius Wernig</t>
        </is>
      </c>
      <c r="F11" t="inlineStr">
        <is>
          <t xml:space="preserve">STANFORD UNIVERSITY</t>
        </is>
      </c>
      <c r="G11" t="inlineStr">
        <is>
          <t xml:space="preserve">STANFORD</t>
        </is>
      </c>
      <c r="H11" t="inlineStr">
        <is>
          <t xml:space="preserve">CA</t>
        </is>
      </c>
      <c r="I11" t="inlineStr">
        <is>
          <t xml:space="preserve">NIMH</t>
        </is>
      </c>
      <c r="J11" t="inlineStr">
        <is>
          <t xml:space="preserve">National Institute of Mental Health</t>
        </is>
      </c>
      <c r="K11" t="inlineStr">
        <is>
          <t xml:space="preserve">2026</t>
        </is>
      </c>
      <c r="L11" t="inlineStr">
        <is>
          <t xml:space="preserve">772889</t>
        </is>
      </c>
      <c r="M11" t="inlineStr">
        <is>
          <t xml:space="preserve">2010-09-29</t>
        </is>
      </c>
      <c r="N11" t="inlineStr">
        <is>
          <t xml:space="preserve">2031-06-30</t>
        </is>
      </c>
      <c r="O11" t="inlineStr">
        <is>
          <t xml:space="preserve"/>
        </is>
      </c>
      <c r="P11" s="3" t="str">
        <f>HYPERLINK("https://reporter.nih.gov/project-details/11376775","https://reporter.nih.gov/project-details/11376775")</f>
        <v>https://reporter.nih.gov/project-details/11376775</v>
      </c>
    </row>
    <row r="12">
      <c r="A12" t="inlineStr">
        <is>
          <t xml:space="preserve">2026-09-17</t>
        </is>
      </c>
      <c r="B12" t="inlineStr">
        <is>
          <t xml:space="preserve">1R15CA317831-01</t>
        </is>
      </c>
      <c r="C12" t="inlineStr">
        <is>
          <t xml:space="preserve">Identifying the molecular differences between oncogenic BMI1 and its tumor suppressive paralog, MEL18</t>
        </is>
      </c>
      <c r="D12" t="inlineStr">
        <is>
          <t xml:space="preserve">CHONGWOO A KIM</t>
        </is>
      </c>
      <c r="E12" t="inlineStr">
        <is>
          <t xml:space="preserve">CHONGWOO A KIM</t>
        </is>
      </c>
      <c r="F12" t="inlineStr">
        <is>
          <t xml:space="preserve">MIDWESTERN UNIVERSITY (GLENDALE AZ)</t>
        </is>
      </c>
      <c r="G12" t="inlineStr">
        <is>
          <t xml:space="preserve">GLENDALE</t>
        </is>
      </c>
      <c r="H12" t="inlineStr">
        <is>
          <t xml:space="preserve">AZ</t>
        </is>
      </c>
      <c r="I12" t="inlineStr">
        <is>
          <t xml:space="preserve">NCI</t>
        </is>
      </c>
      <c r="J12" t="inlineStr">
        <is>
          <t xml:space="preserve">National Cancer Institute</t>
        </is>
      </c>
      <c r="K12" t="inlineStr">
        <is>
          <t xml:space="preserve">2026</t>
        </is>
      </c>
      <c r="L12" t="inlineStr">
        <is>
          <t xml:space="preserve">527250</t>
        </is>
      </c>
      <c r="M12" t="inlineStr">
        <is>
          <t xml:space="preserve">2026-09-17</t>
        </is>
      </c>
      <c r="N12" t="inlineStr">
        <is>
          <t xml:space="preserve">2029-08-31</t>
        </is>
      </c>
      <c r="O12" t="inlineStr">
        <is>
          <t xml:space="preserve"/>
        </is>
      </c>
      <c r="P12" s="3" t="str">
        <f>HYPERLINK("https://reporter.nih.gov/project-details/11444961","https://reporter.nih.gov/project-details/11444961")</f>
        <v>https://reporter.nih.gov/project-details/11444961</v>
      </c>
    </row>
    <row r="13">
      <c r="A13" t="inlineStr">
        <is>
          <t xml:space="preserve">2026-09-17</t>
        </is>
      </c>
      <c r="B13" t="inlineStr">
        <is>
          <t xml:space="preserve">2R56NS118082-06</t>
        </is>
      </c>
      <c r="C13" t="inlineStr">
        <is>
          <t xml:space="preserve">Molecular mechanisms of triplet repeat instability in Huntington's disease</t>
        </is>
      </c>
      <c r="D13" t="inlineStr">
        <is>
          <t xml:space="preserve">Anna Pluciennik</t>
        </is>
      </c>
      <c r="E13" t="inlineStr">
        <is>
          <t xml:space="preserve">Anna Pluciennik</t>
        </is>
      </c>
      <c r="F13" t="inlineStr">
        <is>
          <t xml:space="preserve">THOMAS JEFFERSON UNIVERSITY</t>
        </is>
      </c>
      <c r="G13" t="inlineStr">
        <is>
          <t xml:space="preserve">PHILADELPHIA</t>
        </is>
      </c>
      <c r="H13" t="inlineStr">
        <is>
          <t xml:space="preserve">PA</t>
        </is>
      </c>
      <c r="I13" t="inlineStr">
        <is>
          <t xml:space="preserve">NINDS</t>
        </is>
      </c>
      <c r="J13" t="inlineStr">
        <is>
          <t xml:space="preserve">National Institute of Neurological Disorders and Stroke</t>
        </is>
      </c>
      <c r="K13" t="inlineStr">
        <is>
          <t xml:space="preserve">2026</t>
        </is>
      </c>
      <c r="L13" t="inlineStr">
        <is>
          <t xml:space="preserve">539089</t>
        </is>
      </c>
      <c r="M13" t="inlineStr">
        <is>
          <t xml:space="preserve">2021-07-01</t>
        </is>
      </c>
      <c r="N13" t="inlineStr">
        <is>
          <t xml:space="preserve">2031-07-31</t>
        </is>
      </c>
      <c r="O13" t="inlineStr">
        <is>
          <t xml:space="preserve">Peptide, Small molecule</t>
        </is>
      </c>
      <c r="P13" s="3" t="str">
        <f>HYPERLINK("https://reporter.nih.gov/project-details/11630975","https://reporter.nih.gov/project-details/11630975")</f>
        <v>https://reporter.nih.gov/project-details/11630975</v>
      </c>
    </row>
    <row r="14">
      <c r="A14" t="inlineStr">
        <is>
          <t xml:space="preserve">2026-09-17</t>
        </is>
      </c>
      <c r="B14" t="inlineStr">
        <is>
          <t xml:space="preserve">3U24HG007497-12S1</t>
        </is>
      </c>
      <c r="C14" t="inlineStr">
        <is>
          <t xml:space="preserve">Identifying and Characterizing the Full Spectrum of Haplotype-resolved Structural Variation in Human Genomes</t>
        </is>
      </c>
      <c r="D14" t="inlineStr">
        <is>
          <t xml:space="preserve">CHARLES LEE</t>
        </is>
      </c>
      <c r="E14" t="inlineStr">
        <is>
          <t xml:space="preserve">Evan Eichler; Jan Oliver Korbel; CHARLES LEE; Tobias Marschall</t>
        </is>
      </c>
      <c r="F14" t="inlineStr">
        <is>
          <t xml:space="preserve">UNIVERSITY OF CONNECTICUT SCH OF MED/DNT</t>
        </is>
      </c>
      <c r="G14" t="inlineStr">
        <is>
          <t xml:space="preserve">FARMINGTON</t>
        </is>
      </c>
      <c r="H14" t="inlineStr">
        <is>
          <t xml:space="preserve">CT</t>
        </is>
      </c>
      <c r="I14" t="inlineStr">
        <is>
          <t xml:space="preserve">NHGRI</t>
        </is>
      </c>
      <c r="J14" t="inlineStr">
        <is>
          <t xml:space="preserve">National Human Genome Research Institute</t>
        </is>
      </c>
      <c r="K14" t="inlineStr">
        <is>
          <t xml:space="preserve">2026</t>
        </is>
      </c>
      <c r="L14" t="inlineStr">
        <is>
          <t xml:space="preserve">121257</t>
        </is>
      </c>
      <c r="M14" t="inlineStr">
        <is>
          <t xml:space="preserve">2013-09-20</t>
        </is>
      </c>
      <c r="N14" t="inlineStr">
        <is>
          <t xml:space="preserve">2027-03-31</t>
        </is>
      </c>
      <c r="O14" t="inlineStr">
        <is>
          <t xml:space="preserve"/>
        </is>
      </c>
      <c r="P14" s="3" t="str">
        <f>HYPERLINK("https://reporter.nih.gov/project-details/11627084","https://reporter.nih.gov/project-details/11627084")</f>
        <v>https://reporter.nih.gov/project-details/11627084</v>
      </c>
    </row>
    <row r="15">
      <c r="A15" t="inlineStr">
        <is>
          <t xml:space="preserve">2026-09-17</t>
        </is>
      </c>
      <c r="B15" t="inlineStr">
        <is>
          <t xml:space="preserve">3U24HG007497-12S2</t>
        </is>
      </c>
      <c r="C15" t="inlineStr">
        <is>
          <t xml:space="preserve">Identifying and Characterizing the Full Spectrum of Haplotype-resolved Structural Variation in Human Genomes</t>
        </is>
      </c>
      <c r="D15" t="inlineStr">
        <is>
          <t xml:space="preserve">CHARLES LEE</t>
        </is>
      </c>
      <c r="E15" t="inlineStr">
        <is>
          <t xml:space="preserve">Evan Eichler; Jan Oliver Korbel; CHARLES LEE; Tobias Marschall</t>
        </is>
      </c>
      <c r="F15" t="inlineStr">
        <is>
          <t xml:space="preserve">UNIVERSITY OF CONNECTICUT SCH OF MED/DNT</t>
        </is>
      </c>
      <c r="G15" t="inlineStr">
        <is>
          <t xml:space="preserve">FARMINGTON</t>
        </is>
      </c>
      <c r="H15" t="inlineStr">
        <is>
          <t xml:space="preserve">CT</t>
        </is>
      </c>
      <c r="I15" t="inlineStr">
        <is>
          <t xml:space="preserve">NHGRI</t>
        </is>
      </c>
      <c r="J15" t="inlineStr">
        <is>
          <t xml:space="preserve">National Human Genome Research Institute</t>
        </is>
      </c>
      <c r="K15" t="inlineStr">
        <is>
          <t xml:space="preserve">2026</t>
        </is>
      </c>
      <c r="L15" t="inlineStr">
        <is>
          <t xml:space="preserve">197050</t>
        </is>
      </c>
      <c r="M15" t="inlineStr">
        <is>
          <t xml:space="preserve">2013-09-20</t>
        </is>
      </c>
      <c r="N15" t="inlineStr">
        <is>
          <t xml:space="preserve">2027-03-31</t>
        </is>
      </c>
      <c r="O15" t="inlineStr">
        <is>
          <t xml:space="preserve"/>
        </is>
      </c>
      <c r="P15" s="3" t="str">
        <f>HYPERLINK("https://reporter.nih.gov/project-details/11627138","https://reporter.nih.gov/project-details/11627138")</f>
        <v>https://reporter.nih.gov/project-details/11627138</v>
      </c>
    </row>
    <row r="16">
      <c r="A16" t="inlineStr">
        <is>
          <t xml:space="preserve">2026-09-17</t>
        </is>
      </c>
      <c r="B16" t="inlineStr">
        <is>
          <t xml:space="preserve">1R01HL186713-01</t>
        </is>
      </c>
      <c r="C16" t="inlineStr">
        <is>
          <t xml:space="preserve">Glial chemosensitivity and control of breathing in Rett syndrome</t>
        </is>
      </c>
      <c r="D16" t="inlineStr">
        <is>
          <t xml:space="preserve">Daniel K Mulkey</t>
        </is>
      </c>
      <c r="E16" t="inlineStr">
        <is>
          <t xml:space="preserve">Daniel K Mulkey; Michelle L Olsen</t>
        </is>
      </c>
      <c r="F16" t="inlineStr">
        <is>
          <t xml:space="preserve">UNIVERSITY OF CONNECTICUT STORRS</t>
        </is>
      </c>
      <c r="G16" t="inlineStr">
        <is>
          <t xml:space="preserve">STORRS-MANSFIELD</t>
        </is>
      </c>
      <c r="H16" t="inlineStr">
        <is>
          <t xml:space="preserve">CT</t>
        </is>
      </c>
      <c r="I16" t="inlineStr">
        <is>
          <t xml:space="preserve">NHLBI</t>
        </is>
      </c>
      <c r="J16" t="inlineStr">
        <is>
          <t xml:space="preserve">National Heart Lung and Blood Institute</t>
        </is>
      </c>
      <c r="K16" t="inlineStr">
        <is>
          <t xml:space="preserve">2026</t>
        </is>
      </c>
      <c r="L16" t="inlineStr">
        <is>
          <t xml:space="preserve">775807</t>
        </is>
      </c>
      <c r="M16" t="inlineStr">
        <is>
          <t xml:space="preserve">2026-09-15</t>
        </is>
      </c>
      <c r="N16" t="inlineStr">
        <is>
          <t xml:space="preserve">2030-08-31</t>
        </is>
      </c>
      <c r="O16" t="inlineStr">
        <is>
          <t xml:space="preserve">Peptide</t>
        </is>
      </c>
      <c r="P16" s="3" t="str">
        <f>HYPERLINK("https://reporter.nih.gov/project-details/11389898","https://reporter.nih.gov/project-details/11389898")</f>
        <v>https://reporter.nih.gov/project-details/11389898</v>
      </c>
    </row>
    <row r="17">
      <c r="A17" t="inlineStr">
        <is>
          <t xml:space="preserve">2026-09-17</t>
        </is>
      </c>
      <c r="B17" t="inlineStr">
        <is>
          <t xml:space="preserve">5DP1NS137219-04</t>
        </is>
      </c>
      <c r="C17" t="inlineStr">
        <is>
          <t xml:space="preserve">Manipulating and Interrogating Spatial Transcriptomics</t>
        </is>
      </c>
      <c r="D17" t="inlineStr">
        <is>
          <t xml:space="preserve">Lei Stanley Qi</t>
        </is>
      </c>
      <c r="E17" t="inlineStr">
        <is>
          <t xml:space="preserve">Lei Stanley Qi</t>
        </is>
      </c>
      <c r="F17" t="inlineStr">
        <is>
          <t xml:space="preserve">STANFORD UNIVERSITY</t>
        </is>
      </c>
      <c r="G17" t="inlineStr">
        <is>
          <t xml:space="preserve">STANFORD</t>
        </is>
      </c>
      <c r="H17" t="inlineStr">
        <is>
          <t xml:space="preserve">CA</t>
        </is>
      </c>
      <c r="I17" t="inlineStr">
        <is>
          <t xml:space="preserve">NINDS</t>
        </is>
      </c>
      <c r="J17" t="inlineStr">
        <is>
          <t xml:space="preserve">National Institute of Neurological Disorders and Stroke</t>
        </is>
      </c>
      <c r="K17" t="inlineStr">
        <is>
          <t xml:space="preserve">2026</t>
        </is>
      </c>
      <c r="L17" t="inlineStr">
        <is>
          <t xml:space="preserve">1080800</t>
        </is>
      </c>
      <c r="M17" t="inlineStr">
        <is>
          <t xml:space="preserve">2023-09-01</t>
        </is>
      </c>
      <c r="N17" t="inlineStr">
        <is>
          <t xml:space="preserve">2028-07-31</t>
        </is>
      </c>
      <c r="O17" t="inlineStr">
        <is>
          <t xml:space="preserve">Gene therapy, Peptide</t>
        </is>
      </c>
      <c r="P17" s="3" t="str">
        <f>HYPERLINK("https://reporter.nih.gov/project-details/11398127","https://reporter.nih.gov/project-details/11398127")</f>
        <v>https://reporter.nih.gov/project-details/11398127</v>
      </c>
    </row>
    <row r="18">
      <c r="A18" t="inlineStr">
        <is>
          <t xml:space="preserve">2026-09-17</t>
        </is>
      </c>
      <c r="B18" t="inlineStr">
        <is>
          <t xml:space="preserve">3U24HG007497-12S3</t>
        </is>
      </c>
      <c r="C18" t="inlineStr">
        <is>
          <t xml:space="preserve">Identifying and Characterizing the Full Spectrum of Haplotype-resolved Structural Variation in Human Genomes</t>
        </is>
      </c>
      <c r="D18" t="inlineStr">
        <is>
          <t xml:space="preserve">CHARLES LEE</t>
        </is>
      </c>
      <c r="E18" t="inlineStr">
        <is>
          <t xml:space="preserve">Evan Eichler; Jan Oliver Korbel; CHARLES LEE; Tobias Marschall</t>
        </is>
      </c>
      <c r="F18" t="inlineStr">
        <is>
          <t xml:space="preserve">UNIVERSITY OF CONNECTICUT SCH OF MED/DNT</t>
        </is>
      </c>
      <c r="G18" t="inlineStr">
        <is>
          <t xml:space="preserve">FARMINGTON</t>
        </is>
      </c>
      <c r="H18" t="inlineStr">
        <is>
          <t xml:space="preserve">CT</t>
        </is>
      </c>
      <c r="I18" t="inlineStr">
        <is>
          <t xml:space="preserve">NHGRI</t>
        </is>
      </c>
      <c r="J18" t="inlineStr">
        <is>
          <t xml:space="preserve">National Human Genome Research Institute</t>
        </is>
      </c>
      <c r="K18" t="inlineStr">
        <is>
          <t xml:space="preserve">2026</t>
        </is>
      </c>
      <c r="L18" t="inlineStr">
        <is>
          <t xml:space="preserve">58001</t>
        </is>
      </c>
      <c r="M18" t="inlineStr">
        <is>
          <t xml:space="preserve">2013-09-20</t>
        </is>
      </c>
      <c r="N18" t="inlineStr">
        <is>
          <t xml:space="preserve">2027-03-31</t>
        </is>
      </c>
      <c r="O18" t="inlineStr">
        <is>
          <t xml:space="preserve"/>
        </is>
      </c>
      <c r="P18" s="3" t="str">
        <f>HYPERLINK("https://reporter.nih.gov/project-details/11627257","https://reporter.nih.gov/project-details/11627257")</f>
        <v>https://reporter.nih.gov/project-details/11627257</v>
      </c>
    </row>
    <row r="19">
      <c r="A19" t="inlineStr">
        <is>
          <t xml:space="preserve">2026-09-17</t>
        </is>
      </c>
      <c r="B19" t="inlineStr">
        <is>
          <t xml:space="preserve">1R44HD122555-01</t>
        </is>
      </c>
      <c r="C19" t="inlineStr">
        <is>
          <t xml:space="preserve">Anti-Sense Oligonucleotide Therapy for HNRNPH2 Neurodevelopmental Disorder.</t>
        </is>
      </c>
      <c r="D19" t="inlineStr">
        <is>
          <t xml:space="preserve">Robert M Cabrera</t>
        </is>
      </c>
      <c r="E19" t="inlineStr">
        <is>
          <t xml:space="preserve">Robert M Cabrera</t>
        </is>
      </c>
      <c r="F19" t="inlineStr">
        <is>
          <t xml:space="preserve">ALPHAROSE THERAPEUTICS INC.</t>
        </is>
      </c>
      <c r="G19" t="inlineStr">
        <is>
          <t xml:space="preserve">Leander</t>
        </is>
      </c>
      <c r="H19" t="inlineStr">
        <is>
          <t xml:space="preserve">TX</t>
        </is>
      </c>
      <c r="I19" t="inlineStr">
        <is>
          <t xml:space="preserve">NICHD</t>
        </is>
      </c>
      <c r="J19" t="inlineStr">
        <is>
          <t xml:space="preserve">Eunice Kennedy Shriver National Institute of Child Health and Human Development</t>
        </is>
      </c>
      <c r="K19" t="inlineStr">
        <is>
          <t xml:space="preserve">2026</t>
        </is>
      </c>
      <c r="L19" t="inlineStr">
        <is>
          <t xml:space="preserve">313208</t>
        </is>
      </c>
      <c r="M19" t="inlineStr">
        <is>
          <t xml:space="preserve">2026-09-20</t>
        </is>
      </c>
      <c r="N19" t="inlineStr">
        <is>
          <t xml:space="preserve">2027-08-31</t>
        </is>
      </c>
      <c r="O19" t="inlineStr">
        <is>
          <t xml:space="preserve">Nucleic acid therapeutics, Small molecule, Behavioral</t>
        </is>
      </c>
      <c r="P19" s="3" t="str">
        <f>HYPERLINK("https://reporter.nih.gov/project-details/11408035","https://reporter.nih.gov/project-details/11408035")</f>
        <v>https://reporter.nih.gov/project-details/11408035</v>
      </c>
    </row>
    <row r="20">
      <c r="A20" t="inlineStr">
        <is>
          <t xml:space="preserve">2026-09-17</t>
        </is>
      </c>
      <c r="B20" t="inlineStr">
        <is>
          <t xml:space="preserve">1R56NS144737-01A1</t>
        </is>
      </c>
      <c r="C20" t="inlineStr">
        <is>
          <t xml:space="preserve">Nuclear Factor One (NF1) gene regulation of cortical development</t>
        </is>
      </c>
      <c r="D20" t="inlineStr">
        <is>
          <t xml:space="preserve">Linda J Richards</t>
        </is>
      </c>
      <c r="E20" t="inlineStr">
        <is>
          <t xml:space="preserve">Linda J Richards</t>
        </is>
      </c>
      <c r="F20" t="inlineStr">
        <is>
          <t xml:space="preserve">WASHINGTON UNIVERSITY</t>
        </is>
      </c>
      <c r="G20" t="inlineStr">
        <is>
          <t xml:space="preserve">SAINT LOUIS</t>
        </is>
      </c>
      <c r="H20" t="inlineStr">
        <is>
          <t xml:space="preserve">MO</t>
        </is>
      </c>
      <c r="I20" t="inlineStr">
        <is>
          <t xml:space="preserve">NINDS</t>
        </is>
      </c>
      <c r="J20" t="inlineStr">
        <is>
          <t xml:space="preserve">National Institute of Neurological Disorders and Stroke</t>
        </is>
      </c>
      <c r="K20" t="inlineStr">
        <is>
          <t xml:space="preserve">2026</t>
        </is>
      </c>
      <c r="L20" t="inlineStr">
        <is>
          <t xml:space="preserve">544250</t>
        </is>
      </c>
      <c r="M20" t="inlineStr">
        <is>
          <t xml:space="preserve">2026-09-23</t>
        </is>
      </c>
      <c r="N20" t="inlineStr">
        <is>
          <t xml:space="preserve">2027-08-31</t>
        </is>
      </c>
      <c r="O20" t="inlineStr">
        <is>
          <t xml:space="preserve">Device / stimulation</t>
        </is>
      </c>
      <c r="P20" s="3" t="str">
        <f>HYPERLINK("https://reporter.nih.gov/project-details/11605222","https://reporter.nih.gov/project-details/11605222")</f>
        <v>https://reporter.nih.gov/project-details/11605222</v>
      </c>
    </row>
    <row r="21">
      <c r="A21" t="inlineStr">
        <is>
          <t xml:space="preserve">2026-09-17</t>
        </is>
      </c>
      <c r="B21" t="inlineStr">
        <is>
          <t xml:space="preserve">3P50HD103536-05S2</t>
        </is>
      </c>
      <c r="C21" t="inlineStr">
        <is>
          <t xml:space="preserve">University of Rochester Intellectual and Developmental Disabilities Research Center</t>
        </is>
      </c>
      <c r="D21" t="inlineStr">
        <is>
          <t xml:space="preserve">JOHN J FOXE</t>
        </is>
      </c>
      <c r="E21" t="inlineStr">
        <is>
          <t xml:space="preserve">JOHN J FOXE; Anna K Majewska</t>
        </is>
      </c>
      <c r="F21" t="inlineStr">
        <is>
          <t xml:space="preserve">UNIVERSITY OF ROCHESTER</t>
        </is>
      </c>
      <c r="G21" t="inlineStr">
        <is>
          <t xml:space="preserve">ROCHESTER</t>
        </is>
      </c>
      <c r="H21" t="inlineStr">
        <is>
          <t xml:space="preserve">NY</t>
        </is>
      </c>
      <c r="I21" t="inlineStr">
        <is>
          <t xml:space="preserve">NICHD</t>
        </is>
      </c>
      <c r="J21" t="inlineStr">
        <is>
          <t xml:space="preserve">Eunice Kennedy Shriver National Institute of Child Health and Human Development</t>
        </is>
      </c>
      <c r="K21" t="inlineStr">
        <is>
          <t xml:space="preserve">2026</t>
        </is>
      </c>
      <c r="L21" t="inlineStr">
        <is>
          <t xml:space="preserve">1151400</t>
        </is>
      </c>
      <c r="M21" t="inlineStr">
        <is>
          <t xml:space="preserve">2026-09-22</t>
        </is>
      </c>
      <c r="N21" t="inlineStr">
        <is>
          <t xml:space="preserve">2027-05-31</t>
        </is>
      </c>
      <c r="O21" t="inlineStr">
        <is>
          <t xml:space="preserve"/>
        </is>
      </c>
      <c r="P21" s="3" t="str">
        <f>HYPERLINK("https://reporter.nih.gov/project-details/11551654","https://reporter.nih.gov/project-details/11551654")</f>
        <v>https://reporter.nih.gov/project-details/11551654</v>
      </c>
    </row>
    <row r="22">
      <c r="A22" t="inlineStr">
        <is>
          <t xml:space="preserve">2026-09-17</t>
        </is>
      </c>
      <c r="B22" t="inlineStr">
        <is>
          <t xml:space="preserve">1R01MH141009-01A1</t>
        </is>
      </c>
      <c r="C22" t="inlineStr">
        <is>
          <t xml:space="preserve">Optimizing Autism Diagnosis Training for Primary Care</t>
        </is>
      </c>
      <c r="D22" t="inlineStr">
        <is>
          <t xml:space="preserve">Rebecca McNally Keehn</t>
        </is>
      </c>
      <c r="E22" t="inlineStr">
        <is>
          <t xml:space="preserve">Sarabeth Broder-Fingert; Jeffrey Hine; Rebecca McNally Keehn</t>
        </is>
      </c>
      <c r="F22" t="inlineStr">
        <is>
          <t xml:space="preserve">INDIANA UNIVERSITY INDIANAPOLIS</t>
        </is>
      </c>
      <c r="G22" t="inlineStr">
        <is>
          <t xml:space="preserve">INDIANAPOLIS</t>
        </is>
      </c>
      <c r="H22" t="inlineStr">
        <is>
          <t xml:space="preserve">IN</t>
        </is>
      </c>
      <c r="I22" t="inlineStr">
        <is>
          <t xml:space="preserve">NIMH</t>
        </is>
      </c>
      <c r="J22" t="inlineStr">
        <is>
          <t xml:space="preserve">National Institute of Mental Health</t>
        </is>
      </c>
      <c r="K22" t="inlineStr">
        <is>
          <t xml:space="preserve">2026</t>
        </is>
      </c>
      <c r="L22" t="inlineStr">
        <is>
          <t xml:space="preserve">1464714</t>
        </is>
      </c>
      <c r="M22" t="inlineStr">
        <is>
          <t xml:space="preserve">2026-09-15</t>
        </is>
      </c>
      <c r="N22" t="inlineStr">
        <is>
          <t xml:space="preserve">2031-06-30</t>
        </is>
      </c>
      <c r="O22" t="inlineStr">
        <is>
          <t xml:space="preserve"/>
        </is>
      </c>
      <c r="P22" s="3" t="str">
        <f>HYPERLINK("https://reporter.nih.gov/project-details/11357602","https://reporter.nih.gov/project-details/11357602")</f>
        <v>https://reporter.nih.gov/project-details/11357602</v>
      </c>
    </row>
    <row r="23">
      <c r="A23" t="inlineStr">
        <is>
          <t xml:space="preserve">2026-09-17</t>
        </is>
      </c>
      <c r="B23" t="inlineStr">
        <is>
          <t xml:space="preserve">1R01MH144705-01</t>
        </is>
      </c>
      <c r="C23" t="inlineStr">
        <is>
          <t xml:space="preserve">Cognitive Mechanisms and Neural Predictors of Intellectual Development in Autism</t>
        </is>
      </c>
      <c r="D23" t="inlineStr">
        <is>
          <t xml:space="preserve">Christine Wu Nordahl</t>
        </is>
      </c>
      <c r="E23" t="inlineStr">
        <is>
          <t xml:space="preserve">Christine Wu Nordahl; MARJORIE SOLOMON</t>
        </is>
      </c>
      <c r="F23" t="inlineStr">
        <is>
          <t xml:space="preserve">UNIVERSITY OF CALIFORNIA AT DAVIS</t>
        </is>
      </c>
      <c r="G23" t="inlineStr">
        <is>
          <t xml:space="preserve">DAVIS</t>
        </is>
      </c>
      <c r="H23" t="inlineStr">
        <is>
          <t xml:space="preserve">CA</t>
        </is>
      </c>
      <c r="I23" t="inlineStr">
        <is>
          <t xml:space="preserve">NIMH</t>
        </is>
      </c>
      <c r="J23" t="inlineStr">
        <is>
          <t xml:space="preserve">National Institute of Mental Health</t>
        </is>
      </c>
      <c r="K23" t="inlineStr">
        <is>
          <t xml:space="preserve">2026</t>
        </is>
      </c>
      <c r="L23" t="inlineStr">
        <is>
          <t xml:space="preserve">800069</t>
        </is>
      </c>
      <c r="M23" t="inlineStr">
        <is>
          <t xml:space="preserve">2026-09-15</t>
        </is>
      </c>
      <c r="N23" t="inlineStr">
        <is>
          <t xml:space="preserve">2031-06-30</t>
        </is>
      </c>
      <c r="O23" t="inlineStr">
        <is>
          <t xml:space="preserve"/>
        </is>
      </c>
      <c r="P23" s="3" t="str">
        <f>HYPERLINK("https://reporter.nih.gov/project-details/11380464","https://reporter.nih.gov/project-details/11380464")</f>
        <v>https://reporter.nih.gov/project-details/11380464</v>
      </c>
    </row>
    <row r="24">
      <c r="A24" t="inlineStr">
        <is>
          <t xml:space="preserve">2026-09-17</t>
        </is>
      </c>
      <c r="B24" t="inlineStr">
        <is>
          <t xml:space="preserve">3K23HD105929-05S1</t>
        </is>
      </c>
      <c r="C24" t="inlineStr">
        <is>
          <t xml:space="preserve">Prevention of Developmental Delay and Xylitol (PDDaX) Study</t>
        </is>
      </c>
      <c r="D24" t="inlineStr">
        <is>
          <t xml:space="preserve">Gregory Charles Valentine</t>
        </is>
      </c>
      <c r="E24" t="inlineStr">
        <is>
          <t xml:space="preserve">Gregory Charles Valentine</t>
        </is>
      </c>
      <c r="F24" t="inlineStr">
        <is>
          <t xml:space="preserve">UNIVERSITY OF WASHINGTON</t>
        </is>
      </c>
      <c r="G24" t="inlineStr">
        <is>
          <t xml:space="preserve">SEATTLE</t>
        </is>
      </c>
      <c r="H24" t="inlineStr">
        <is>
          <t xml:space="preserve">WA</t>
        </is>
      </c>
      <c r="I24" t="inlineStr">
        <is>
          <t xml:space="preserve">NICHD</t>
        </is>
      </c>
      <c r="J24" t="inlineStr">
        <is>
          <t xml:space="preserve">Eunice Kennedy Shriver National Institute of Child Health and Human Development</t>
        </is>
      </c>
      <c r="K24" t="inlineStr">
        <is>
          <t xml:space="preserve">2026</t>
        </is>
      </c>
      <c r="L24" t="inlineStr">
        <is>
          <t xml:space="preserve">6480</t>
        </is>
      </c>
      <c r="M24" t="inlineStr">
        <is>
          <t xml:space="preserve">2022-06-09</t>
        </is>
      </c>
      <c r="N24" t="inlineStr">
        <is>
          <t xml:space="preserve">2027-05-31</t>
        </is>
      </c>
      <c r="O24" t="inlineStr">
        <is>
          <t xml:space="preserve"/>
        </is>
      </c>
      <c r="P24" s="3" t="str">
        <f>HYPERLINK("https://reporter.nih.gov/project-details/11616470","https://reporter.nih.gov/project-details/11616470")</f>
        <v>https://reporter.nih.gov/project-details/11616470</v>
      </c>
    </row>
    <row r="25">
      <c r="A25" t="inlineStr">
        <is>
          <t xml:space="preserve">2026-09-17</t>
        </is>
      </c>
      <c r="B25" t="inlineStr">
        <is>
          <t xml:space="preserve">1R01HD122839-01</t>
        </is>
      </c>
      <c r="C25" t="inlineStr">
        <is>
          <t xml:space="preserve">Maternal Use of Acetaminophen During Pregnancy and the Risk of Attention Deficit/Hyperactivity Disorder (ADHD) in Offspring: Developmental Origin of Neurodevelopmental Disorders</t>
        </is>
      </c>
      <c r="D25" t="inlineStr">
        <is>
          <t xml:space="preserve">De-Kun Li</t>
        </is>
      </c>
      <c r="E25" t="inlineStr">
        <is>
          <t xml:space="preserve">De-Kun Li</t>
        </is>
      </c>
      <c r="F25" t="inlineStr">
        <is>
          <t xml:space="preserve">KAISER FOUNDATION RESEARCH INSTITUTE</t>
        </is>
      </c>
      <c r="G25" t="inlineStr">
        <is>
          <t xml:space="preserve">Oakland</t>
        </is>
      </c>
      <c r="H25" t="inlineStr">
        <is>
          <t xml:space="preserve">CA</t>
        </is>
      </c>
      <c r="I25" t="inlineStr">
        <is>
          <t xml:space="preserve">NICHD</t>
        </is>
      </c>
      <c r="J25" t="inlineStr">
        <is>
          <t xml:space="preserve">Eunice Kennedy Shriver National Institute of Child Health and Human Development</t>
        </is>
      </c>
      <c r="K25" t="inlineStr">
        <is>
          <t xml:space="preserve">2026</t>
        </is>
      </c>
      <c r="L25" t="inlineStr">
        <is>
          <t xml:space="preserve">706235</t>
        </is>
      </c>
      <c r="M25" t="inlineStr">
        <is>
          <t xml:space="preserve">2026-09-21</t>
        </is>
      </c>
      <c r="N25" t="inlineStr">
        <is>
          <t xml:space="preserve">2030-08-31</t>
        </is>
      </c>
      <c r="O25" t="inlineStr">
        <is>
          <t xml:space="preserve">Small molecule</t>
        </is>
      </c>
      <c r="P25" s="3" t="str">
        <f>HYPERLINK("https://reporter.nih.gov/project-details/11434804","https://reporter.nih.gov/project-details/11434804")</f>
        <v>https://reporter.nih.gov/project-details/11434804</v>
      </c>
    </row>
    <row r="26">
      <c r="A26" t="inlineStr">
        <is>
          <t xml:space="preserve">2026-09-17</t>
        </is>
      </c>
      <c r="B26" t="inlineStr">
        <is>
          <t xml:space="preserve">1R03HD120869-01A1</t>
        </is>
      </c>
      <c r="C26" t="inlineStr">
        <is>
          <t xml:space="preserve">Fine Mapping and Phenotypic Association of Chromosome 18 CNVs in the Gabriela Miller Kids First Pediatrics Research Program</t>
        </is>
      </c>
      <c r="D26" t="inlineStr">
        <is>
          <t xml:space="preserve">Santhosh Girirajan</t>
        </is>
      </c>
      <c r="E26" t="inlineStr">
        <is>
          <t xml:space="preserve">Santhosh Girirajan</t>
        </is>
      </c>
      <c r="F26" t="inlineStr">
        <is>
          <t xml:space="preserve">PENNSYLVANIA STATE UNIVERSITY, THE</t>
        </is>
      </c>
      <c r="G26" t="inlineStr">
        <is>
          <t xml:space="preserve">UNIVERSITY PARK</t>
        </is>
      </c>
      <c r="H26" t="inlineStr">
        <is>
          <t xml:space="preserve">PA</t>
        </is>
      </c>
      <c r="I26" t="inlineStr">
        <is>
          <t xml:space="preserve">NICHD</t>
        </is>
      </c>
      <c r="J26" t="inlineStr">
        <is>
          <t xml:space="preserve">Eunice Kennedy Shriver National Institute of Child Health and Human Development</t>
        </is>
      </c>
      <c r="K26" t="inlineStr">
        <is>
          <t xml:space="preserve">2026</t>
        </is>
      </c>
      <c r="L26" t="inlineStr">
        <is>
          <t xml:space="preserve">289075</t>
        </is>
      </c>
      <c r="M26" t="inlineStr">
        <is>
          <t xml:space="preserve">2026-09-21</t>
        </is>
      </c>
      <c r="N26" t="inlineStr">
        <is>
          <t xml:space="preserve">2028-08-31</t>
        </is>
      </c>
      <c r="O26" t="inlineStr">
        <is>
          <t xml:space="preserve"/>
        </is>
      </c>
      <c r="P26" s="3" t="str">
        <f>HYPERLINK("https://reporter.nih.gov/project-details/11453240","https://reporter.nih.gov/project-details/11453240")</f>
        <v>https://reporter.nih.gov/project-details/11453240</v>
      </c>
    </row>
    <row r="27">
      <c r="A27" t="inlineStr">
        <is>
          <t xml:space="preserve">2026-09-17</t>
        </is>
      </c>
      <c r="B27" t="inlineStr">
        <is>
          <t xml:space="preserve">5R01EY015788-18</t>
        </is>
      </c>
      <c r="C27" t="inlineStr">
        <is>
          <t xml:space="preserve">Mechanisms and Role of Spontaneous Retinal Waves in Visual Development.</t>
        </is>
      </c>
      <c r="D27" t="inlineStr">
        <is>
          <t xml:space="preserve">Michael C. Crair</t>
        </is>
      </c>
      <c r="E27" t="inlineStr">
        <is>
          <t xml:space="preserve">Michael C. Crair</t>
        </is>
      </c>
      <c r="F27" t="inlineStr">
        <is>
          <t xml:space="preserve">YALE UNIVERSITY</t>
        </is>
      </c>
      <c r="G27" t="inlineStr">
        <is>
          <t xml:space="preserve">NEW HAVEN</t>
        </is>
      </c>
      <c r="H27" t="inlineStr">
        <is>
          <t xml:space="preserve">CT</t>
        </is>
      </c>
      <c r="I27" t="inlineStr">
        <is>
          <t xml:space="preserve">NEI</t>
        </is>
      </c>
      <c r="J27" t="inlineStr">
        <is>
          <t xml:space="preserve">National Eye Institute</t>
        </is>
      </c>
      <c r="K27" t="inlineStr">
        <is>
          <t xml:space="preserve">2026</t>
        </is>
      </c>
      <c r="L27" t="inlineStr">
        <is>
          <t xml:space="preserve">592300</t>
        </is>
      </c>
      <c r="M27" t="inlineStr">
        <is>
          <t xml:space="preserve">2005-08-01</t>
        </is>
      </c>
      <c r="N27" t="inlineStr">
        <is>
          <t xml:space="preserve">2026-12-31</t>
        </is>
      </c>
      <c r="O27" t="inlineStr">
        <is>
          <t xml:space="preserve"/>
        </is>
      </c>
      <c r="P27" s="3" t="str">
        <f>HYPERLINK("https://reporter.nih.gov/project-details/11323051","https://reporter.nih.gov/project-details/11323051")</f>
        <v>https://reporter.nih.gov/project-details/11323051</v>
      </c>
    </row>
    <row r="28">
      <c r="A28" t="inlineStr">
        <is>
          <t xml:space="preserve">2026-09-17</t>
        </is>
      </c>
      <c r="B28" t="inlineStr">
        <is>
          <t xml:space="preserve">1R01HD123105-01</t>
        </is>
      </c>
      <c r="C28" t="inlineStr">
        <is>
          <t xml:space="preserve">Child Health Impacts of Injury in Pregnancy (CHIIP)</t>
        </is>
      </c>
      <c r="D28" t="inlineStr">
        <is>
          <t xml:space="preserve">MAGDALENA JANECKA</t>
        </is>
      </c>
      <c r="E28" t="inlineStr">
        <is>
          <t xml:space="preserve">Akhgar Ghassabian; MAGDALENA JANECKA</t>
        </is>
      </c>
      <c r="F28" t="inlineStr">
        <is>
          <t xml:space="preserve">NEW YORK UNIVERSITY SCHOOL OF MEDICINE</t>
        </is>
      </c>
      <c r="G28" t="inlineStr">
        <is>
          <t xml:space="preserve">NEW YORK</t>
        </is>
      </c>
      <c r="H28" t="inlineStr">
        <is>
          <t xml:space="preserve">NY</t>
        </is>
      </c>
      <c r="I28" t="inlineStr">
        <is>
          <t xml:space="preserve">NICHD</t>
        </is>
      </c>
      <c r="J28" t="inlineStr">
        <is>
          <t xml:space="preserve">Eunice Kennedy Shriver National Institute of Child Health and Human Development</t>
        </is>
      </c>
      <c r="K28" t="inlineStr">
        <is>
          <t xml:space="preserve">2026</t>
        </is>
      </c>
      <c r="L28" t="inlineStr">
        <is>
          <t xml:space="preserve">727664</t>
        </is>
      </c>
      <c r="M28" t="inlineStr">
        <is>
          <t xml:space="preserve">2026-09-15</t>
        </is>
      </c>
      <c r="N28" t="inlineStr">
        <is>
          <t xml:space="preserve">2031-06-30</t>
        </is>
      </c>
      <c r="O28" t="inlineStr">
        <is>
          <t xml:space="preserve">Small molecule</t>
        </is>
      </c>
      <c r="P28" s="3" t="str">
        <f>HYPERLINK("https://reporter.nih.gov/project-details/11429177","https://reporter.nih.gov/project-details/11429177")</f>
        <v>https://reporter.nih.gov/project-details/11429177</v>
      </c>
    </row>
    <row r="29">
      <c r="A29" t="inlineStr">
        <is>
          <t xml:space="preserve">2026-09-17</t>
        </is>
      </c>
      <c r="B29" t="inlineStr">
        <is>
          <t xml:space="preserve">5K23HD105929-05</t>
        </is>
      </c>
      <c r="C29" t="inlineStr">
        <is>
          <t xml:space="preserve">Prevention of Developmental Delay and Xylitol (PDDaX) Study</t>
        </is>
      </c>
      <c r="D29" t="inlineStr">
        <is>
          <t xml:space="preserve">Gregory Charles Valentine</t>
        </is>
      </c>
      <c r="E29" t="inlineStr">
        <is>
          <t xml:space="preserve">Gregory Charles Valentine</t>
        </is>
      </c>
      <c r="F29" t="inlineStr">
        <is>
          <t xml:space="preserve">UNIVERSITY OF WASHINGTON</t>
        </is>
      </c>
      <c r="G29" t="inlineStr">
        <is>
          <t xml:space="preserve">SEATTLE</t>
        </is>
      </c>
      <c r="H29" t="inlineStr">
        <is>
          <t xml:space="preserve">WA</t>
        </is>
      </c>
      <c r="I29" t="inlineStr">
        <is>
          <t xml:space="preserve">NICHD</t>
        </is>
      </c>
      <c r="J29" t="inlineStr">
        <is>
          <t xml:space="preserve">Eunice Kennedy Shriver National Institute of Child Health and Human Development</t>
        </is>
      </c>
      <c r="K29" t="inlineStr">
        <is>
          <t xml:space="preserve">2026</t>
        </is>
      </c>
      <c r="L29" t="inlineStr">
        <is>
          <t xml:space="preserve">153067</t>
        </is>
      </c>
      <c r="M29" t="inlineStr">
        <is>
          <t xml:space="preserve">2022-06-09</t>
        </is>
      </c>
      <c r="N29" t="inlineStr">
        <is>
          <t xml:space="preserve">2027-05-31</t>
        </is>
      </c>
      <c r="O29" t="inlineStr">
        <is>
          <t xml:space="preserve"/>
        </is>
      </c>
      <c r="P29" s="3" t="str">
        <f>HYPERLINK("https://reporter.nih.gov/project-details/11326832","https://reporter.nih.gov/project-details/11326832")</f>
        <v>https://reporter.nih.gov/project-details/11326832</v>
      </c>
    </row>
    <row r="30">
      <c r="A30" t="inlineStr">
        <is>
          <t xml:space="preserve">2026-09-17</t>
        </is>
      </c>
      <c r="B30" t="inlineStr">
        <is>
          <t xml:space="preserve">7R01MH137179-04</t>
        </is>
      </c>
      <c r="C30" t="inlineStr">
        <is>
          <t xml:space="preserve">Hybrid Effectiveness-Implementation Trial of an Executive Functioning Intervention for Children's Mental Health Services</t>
        </is>
      </c>
      <c r="D30" t="inlineStr">
        <is>
          <t xml:space="preserve">Kelsey S Dickson</t>
        </is>
      </c>
      <c r="E30" t="inlineStr">
        <is>
          <t xml:space="preserve">Kelsey S Dickson</t>
        </is>
      </c>
      <c r="F30" t="inlineStr">
        <is>
          <t xml:space="preserve">UNIVERSITY OF OREGON</t>
        </is>
      </c>
      <c r="G30" t="inlineStr">
        <is>
          <t xml:space="preserve">EUGENE</t>
        </is>
      </c>
      <c r="H30" t="inlineStr">
        <is>
          <t xml:space="preserve">OR</t>
        </is>
      </c>
      <c r="I30" t="inlineStr">
        <is>
          <t xml:space="preserve">NIMH</t>
        </is>
      </c>
      <c r="J30" t="inlineStr">
        <is>
          <t xml:space="preserve">National Institute of Mental Health</t>
        </is>
      </c>
      <c r="K30" t="inlineStr">
        <is>
          <t xml:space="preserve">2026</t>
        </is>
      </c>
      <c r="L30" t="inlineStr">
        <is>
          <t xml:space="preserve">947270</t>
        </is>
      </c>
      <c r="M30" t="inlineStr">
        <is>
          <t xml:space="preserve">2024-09-04</t>
        </is>
      </c>
      <c r="N30" t="inlineStr">
        <is>
          <t xml:space="preserve">2029-05-31</t>
        </is>
      </c>
      <c r="O30" t="inlineStr">
        <is>
          <t xml:space="preserve">Behavioral</t>
        </is>
      </c>
      <c r="P30" s="3" t="str">
        <f>HYPERLINK("https://reporter.nih.gov/project-details/11556305","https://reporter.nih.gov/project-details/11556305")</f>
        <v>https://reporter.nih.gov/project-details/11556305</v>
      </c>
    </row>
    <row r="31">
      <c r="A31" t="inlineStr">
        <is>
          <t xml:space="preserve">2026-09-17</t>
        </is>
      </c>
      <c r="B31" t="inlineStr">
        <is>
          <t xml:space="preserve">3R01NS139561-07S1</t>
        </is>
      </c>
      <c r="C31" t="inlineStr">
        <is>
          <t xml:space="preserve">Uncovering the dynamics and regulatory logic of cell fate specification in cerebral organoid data</t>
        </is>
      </c>
      <c r="D31" t="inlineStr">
        <is>
          <t xml:space="preserve">Smita Krishnaswamy</t>
        </is>
      </c>
      <c r="E31" t="inlineStr">
        <is>
          <t xml:space="preserve">Natalia B Ivanova; Smita Krishnaswamy</t>
        </is>
      </c>
      <c r="F31" t="inlineStr">
        <is>
          <t xml:space="preserve">YALE UNIVERSITY</t>
        </is>
      </c>
      <c r="G31" t="inlineStr">
        <is>
          <t xml:space="preserve">NEW HAVEN</t>
        </is>
      </c>
      <c r="H31" t="inlineStr">
        <is>
          <t xml:space="preserve">CT</t>
        </is>
      </c>
      <c r="I31" t="inlineStr">
        <is>
          <t xml:space="preserve">NINDS</t>
        </is>
      </c>
      <c r="J31" t="inlineStr">
        <is>
          <t xml:space="preserve">National Institute of Neurological Disorders and Stroke</t>
        </is>
      </c>
      <c r="K31" t="inlineStr">
        <is>
          <t xml:space="preserve">2026</t>
        </is>
      </c>
      <c r="L31" t="inlineStr">
        <is>
          <t xml:space="preserve">24041</t>
        </is>
      </c>
      <c r="M31" t="inlineStr">
        <is>
          <t xml:space="preserve">2025-05-09</t>
        </is>
      </c>
      <c r="N31" t="inlineStr">
        <is>
          <t xml:space="preserve">2027-04-30</t>
        </is>
      </c>
      <c r="O31" t="inlineStr">
        <is>
          <t xml:space="preserve">Gene therapy</t>
        </is>
      </c>
      <c r="P31" s="3" t="str">
        <f>HYPERLINK("https://reporter.nih.gov/project-details/11533211","https://reporter.nih.gov/project-details/11533211")</f>
        <v>https://reporter.nih.gov/project-details/11533211</v>
      </c>
    </row>
    <row r="32">
      <c r="A32" t="inlineStr">
        <is>
          <t xml:space="preserve">2026-09-17</t>
        </is>
      </c>
      <c r="B32" t="inlineStr">
        <is>
          <t xml:space="preserve">3U01NS134350-12S1</t>
        </is>
      </c>
      <c r="C32" t="inlineStr">
        <is>
          <t xml:space="preserve">An integrated and diverse genomic medicine program for undiagnosed diseases</t>
        </is>
      </c>
      <c r="D32" t="inlineStr">
        <is>
          <t xml:space="preserve">VANDANA SHASHI</t>
        </is>
      </c>
      <c r="E32" t="inlineStr">
        <is>
          <t xml:space="preserve">VANDANA SHASHI</t>
        </is>
      </c>
      <c r="F32" t="inlineStr">
        <is>
          <t xml:space="preserve">DUKE UNIVERSITY</t>
        </is>
      </c>
      <c r="G32" t="inlineStr">
        <is>
          <t xml:space="preserve">DURHAM</t>
        </is>
      </c>
      <c r="H32" t="inlineStr">
        <is>
          <t xml:space="preserve">NC</t>
        </is>
      </c>
      <c r="I32" t="inlineStr">
        <is>
          <t xml:space="preserve">NINDS</t>
        </is>
      </c>
      <c r="J32" t="inlineStr">
        <is>
          <t xml:space="preserve">National Institute of Neurological Disorders and Stroke</t>
        </is>
      </c>
      <c r="K32" t="inlineStr">
        <is>
          <t xml:space="preserve">2026</t>
        </is>
      </c>
      <c r="L32" t="inlineStr">
        <is>
          <t xml:space="preserve">376455</t>
        </is>
      </c>
      <c r="M32" t="inlineStr">
        <is>
          <t xml:space="preserve">2014-08-01</t>
        </is>
      </c>
      <c r="N32" t="inlineStr">
        <is>
          <t xml:space="preserve">2028-07-31</t>
        </is>
      </c>
      <c r="O32" t="inlineStr">
        <is>
          <t xml:space="preserve"/>
        </is>
      </c>
      <c r="P32" s="3" t="str">
        <f>HYPERLINK("https://reporter.nih.gov/project-details/11537645","https://reporter.nih.gov/project-details/11537645")</f>
        <v>https://reporter.nih.gov/project-details/11537645</v>
      </c>
    </row>
    <row r="33">
      <c r="A33" t="inlineStr">
        <is>
          <t xml:space="preserve">2026-09-17</t>
        </is>
      </c>
      <c r="B33" t="inlineStr">
        <is>
          <t xml:space="preserve">4K00NS141343-03</t>
        </is>
      </c>
      <c r="C33" t="inlineStr">
        <is>
          <t xml:space="preserve">Investigating Visual Attention Mechanisms During Emotional Inferences</t>
        </is>
      </c>
      <c r="D33" t="inlineStr">
        <is>
          <t xml:space="preserve">Jefferson Ortega</t>
        </is>
      </c>
      <c r="E33" t="inlineStr">
        <is>
          <t xml:space="preserve">Jefferson Ortega</t>
        </is>
      </c>
      <c r="F33" t="inlineStr">
        <is>
          <t xml:space="preserve">UNIVERSITY OF CALIFORNIA, SAN FRANCISCO</t>
        </is>
      </c>
      <c r="G33" t="inlineStr">
        <is>
          <t xml:space="preserve">SAN FRANCISCO</t>
        </is>
      </c>
      <c r="H33" t="inlineStr">
        <is>
          <t xml:space="preserve">CA</t>
        </is>
      </c>
      <c r="I33" t="inlineStr">
        <is>
          <t xml:space="preserve">NINDS</t>
        </is>
      </c>
      <c r="J33" t="inlineStr">
        <is>
          <t xml:space="preserve">National Institute of Neurological Disorders and Stroke</t>
        </is>
      </c>
      <c r="K33" t="inlineStr">
        <is>
          <t xml:space="preserve">2026</t>
        </is>
      </c>
      <c r="L33" t="inlineStr">
        <is>
          <t xml:space="preserve">82015</t>
        </is>
      </c>
      <c r="M33" t="inlineStr">
        <is>
          <t xml:space="preserve">2024-09-15</t>
        </is>
      </c>
      <c r="N33" t="inlineStr">
        <is>
          <t xml:space="preserve">2030-08-31</t>
        </is>
      </c>
      <c r="O33" t="inlineStr">
        <is>
          <t xml:space="preserve"/>
        </is>
      </c>
      <c r="P33" s="3" t="str">
        <f>HYPERLINK("https://reporter.nih.gov/project-details/11416955","https://reporter.nih.gov/project-details/11416955")</f>
        <v>https://reporter.nih.gov/project-details/11416955</v>
      </c>
    </row>
    <row r="34">
      <c r="A34" t="inlineStr">
        <is>
          <t xml:space="preserve">2026-09-17</t>
        </is>
      </c>
      <c r="B34" t="inlineStr">
        <is>
          <t xml:space="preserve">2R44NS124469-02</t>
        </is>
      </c>
      <c r="C34" t="inlineStr">
        <is>
          <t xml:space="preserve">The first adaptable 3D-formfitting microelectrode array for organoid-based models of neurological and neurodegenerative diseases</t>
        </is>
      </c>
      <c r="D34" t="inlineStr">
        <is>
          <t xml:space="preserve">Oliver Graudejus</t>
        </is>
      </c>
      <c r="E34" t="inlineStr">
        <is>
          <t xml:space="preserve">Oliver Graudejus</t>
        </is>
      </c>
      <c r="F34" t="inlineStr">
        <is>
          <t xml:space="preserve">BMSEED, LLC</t>
        </is>
      </c>
      <c r="G34" t="inlineStr">
        <is>
          <t xml:space="preserve">TEMPE</t>
        </is>
      </c>
      <c r="H34" t="inlineStr">
        <is>
          <t xml:space="preserve">AZ</t>
        </is>
      </c>
      <c r="I34" t="inlineStr">
        <is>
          <t xml:space="preserve">NINDS</t>
        </is>
      </c>
      <c r="J34" t="inlineStr">
        <is>
          <t xml:space="preserve">National Institute of Neurological Disorders and Stroke</t>
        </is>
      </c>
      <c r="K34" t="inlineStr">
        <is>
          <t xml:space="preserve">2026</t>
        </is>
      </c>
      <c r="L34" t="inlineStr">
        <is>
          <t xml:space="preserve">700518</t>
        </is>
      </c>
      <c r="M34" t="inlineStr">
        <is>
          <t xml:space="preserve">2022-09-18</t>
        </is>
      </c>
      <c r="N34" t="inlineStr">
        <is>
          <t xml:space="preserve">2028-08-31</t>
        </is>
      </c>
      <c r="O34" t="inlineStr">
        <is>
          <t xml:space="preserve">Small molecule</t>
        </is>
      </c>
      <c r="P34" s="3" t="str">
        <f>HYPERLINK("https://reporter.nih.gov/project-details/11311188","https://reporter.nih.gov/project-details/11311188")</f>
        <v>https://reporter.nih.gov/project-details/11311188</v>
      </c>
    </row>
    <row r="35">
      <c r="A35" t="inlineStr">
        <is>
          <t xml:space="preserve">2026-09-17</t>
        </is>
      </c>
      <c r="B35" t="inlineStr">
        <is>
          <t xml:space="preserve">1R56NS146660-01A1</t>
        </is>
      </c>
      <c r="C35" t="inlineStr">
        <is>
          <t xml:space="preserve">The Mechanism of Trinucleotide Repeat Disease Expansions</t>
        </is>
      </c>
      <c r="D35" t="inlineStr">
        <is>
          <t xml:space="preserve">Richard Fishel</t>
        </is>
      </c>
      <c r="E35" t="inlineStr">
        <is>
          <t xml:space="preserve">Richard Fishel</t>
        </is>
      </c>
      <c r="F35" t="inlineStr">
        <is>
          <t xml:space="preserve">OHIO STATE UNIVERSITY</t>
        </is>
      </c>
      <c r="G35" t="inlineStr">
        <is>
          <t xml:space="preserve">Columbus</t>
        </is>
      </c>
      <c r="H35" t="inlineStr">
        <is>
          <t xml:space="preserve">OH</t>
        </is>
      </c>
      <c r="I35" t="inlineStr">
        <is>
          <t xml:space="preserve">NINDS</t>
        </is>
      </c>
      <c r="J35" t="inlineStr">
        <is>
          <t xml:space="preserve">National Institute of Neurological Disorders and Stroke</t>
        </is>
      </c>
      <c r="K35" t="inlineStr">
        <is>
          <t xml:space="preserve">2026</t>
        </is>
      </c>
      <c r="L35" t="inlineStr">
        <is>
          <t xml:space="preserve">551250</t>
        </is>
      </c>
      <c r="M35" t="inlineStr">
        <is>
          <t xml:space="preserve">2026-09-17</t>
        </is>
      </c>
      <c r="N35" t="inlineStr">
        <is>
          <t xml:space="preserve">2027-08-31</t>
        </is>
      </c>
      <c r="O35" t="inlineStr">
        <is>
          <t xml:space="preserve">Gene therapy, Small molecule</t>
        </is>
      </c>
      <c r="P35" s="3" t="str">
        <f>HYPERLINK("https://reporter.nih.gov/project-details/11629759","https://reporter.nih.gov/project-details/11629759")</f>
        <v>https://reporter.nih.gov/project-details/11629759</v>
      </c>
    </row>
    <row r="36">
      <c r="A36" t="inlineStr">
        <is>
          <t xml:space="preserve">2026-09-17</t>
        </is>
      </c>
      <c r="B36" t="inlineStr">
        <is>
          <t xml:space="preserve">1F31EY039700-01</t>
        </is>
      </c>
      <c r="C36" t="inlineStr">
        <is>
          <t xml:space="preserve">Molecular mechanisms and neural impact of human microglia immune tolerance</t>
        </is>
      </c>
      <c r="D36" t="inlineStr">
        <is>
          <t xml:space="preserve">Victoria Cuevas</t>
        </is>
      </c>
      <c r="E36" t="inlineStr">
        <is>
          <t xml:space="preserve">Victoria Cuevas</t>
        </is>
      </c>
      <c r="F36" t="inlineStr">
        <is>
          <t xml:space="preserve">BAYLOR COLLEGE OF MEDICINE</t>
        </is>
      </c>
      <c r="G36" t="inlineStr">
        <is>
          <t xml:space="preserve">HOUSTON</t>
        </is>
      </c>
      <c r="H36" t="inlineStr">
        <is>
          <t xml:space="preserve">TX</t>
        </is>
      </c>
      <c r="I36" t="inlineStr">
        <is>
          <t xml:space="preserve">NEI</t>
        </is>
      </c>
      <c r="J36" t="inlineStr">
        <is>
          <t xml:space="preserve">National Eye Institute</t>
        </is>
      </c>
      <c r="K36" t="inlineStr">
        <is>
          <t xml:space="preserve">2026</t>
        </is>
      </c>
      <c r="L36" t="inlineStr">
        <is>
          <t xml:space="preserve">50114</t>
        </is>
      </c>
      <c r="M36" t="inlineStr">
        <is>
          <t xml:space="preserve">2026-09-28</t>
        </is>
      </c>
      <c r="N36" t="inlineStr">
        <is>
          <t xml:space="preserve">2029-09-27</t>
        </is>
      </c>
      <c r="O36" t="inlineStr">
        <is>
          <t xml:space="preserve">Gene therapy</t>
        </is>
      </c>
      <c r="P36" s="3" t="str">
        <f>HYPERLINK("https://reporter.nih.gov/project-details/11460632","https://reporter.nih.gov/project-details/11460632")</f>
        <v>https://reporter.nih.gov/project-details/11460632</v>
      </c>
    </row>
    <row r="37">
      <c r="A37" t="inlineStr">
        <is>
          <t xml:space="preserve">2026-09-17</t>
        </is>
      </c>
      <c r="B37" t="inlineStr">
        <is>
          <t xml:space="preserve">1R01AR086597-01A1</t>
        </is>
      </c>
      <c r="C37" t="inlineStr">
        <is>
          <t xml:space="preserve">Fmr1 and the regulation of osteoblast to osteocyte differentiation and bone mass and strength</t>
        </is>
      </c>
      <c r="D37" t="inlineStr">
        <is>
          <t xml:space="preserve">Lilian Irene Plotkin</t>
        </is>
      </c>
      <c r="E37" t="inlineStr">
        <is>
          <t xml:space="preserve">Lilian Irene Plotkin</t>
        </is>
      </c>
      <c r="F37" t="inlineStr">
        <is>
          <t xml:space="preserve">INDIANA UNIVERSITY INDIANAPOLIS</t>
        </is>
      </c>
      <c r="G37" t="inlineStr">
        <is>
          <t xml:space="preserve">INDIANAPOLIS</t>
        </is>
      </c>
      <c r="H37" t="inlineStr">
        <is>
          <t xml:space="preserve">IN</t>
        </is>
      </c>
      <c r="I37" t="inlineStr">
        <is>
          <t xml:space="preserve">NIAMS</t>
        </is>
      </c>
      <c r="J37" t="inlineStr">
        <is>
          <t xml:space="preserve">National Institute of Arthritis and Musculoskeletal and Skin Diseases</t>
        </is>
      </c>
      <c r="K37" t="inlineStr">
        <is>
          <t xml:space="preserve">2026</t>
        </is>
      </c>
      <c r="L37" t="inlineStr">
        <is>
          <t xml:space="preserve">452938</t>
        </is>
      </c>
      <c r="M37" t="inlineStr">
        <is>
          <t xml:space="preserve">2026-09-23</t>
        </is>
      </c>
      <c r="N37" t="inlineStr">
        <is>
          <t xml:space="preserve">2031-07-31</t>
        </is>
      </c>
      <c r="O37" t="inlineStr">
        <is>
          <t xml:space="preserve"/>
        </is>
      </c>
      <c r="P37" s="3" t="str">
        <f>HYPERLINK("https://reporter.nih.gov/project-details/11376839","https://reporter.nih.gov/project-details/11376839")</f>
        <v>https://reporter.nih.gov/project-details/11376839</v>
      </c>
    </row>
    <row r="38">
      <c r="A38" t="inlineStr">
        <is>
          <t xml:space="preserve">2026-09-17</t>
        </is>
      </c>
      <c r="B38" t="inlineStr">
        <is>
          <t xml:space="preserve">1R01HD118454-01A1</t>
        </is>
      </c>
      <c r="C38" t="inlineStr">
        <is>
          <t xml:space="preserve">Neurodevelopmental Effects of Gestational Gabapentin Exposure</t>
        </is>
      </c>
      <c r="D38" t="inlineStr">
        <is>
          <t xml:space="preserve">Patrick Alexander Forcelli</t>
        </is>
      </c>
      <c r="E38" t="inlineStr">
        <is>
          <t xml:space="preserve">Patrick Alexander Forcelli</t>
        </is>
      </c>
      <c r="F38" t="inlineStr">
        <is>
          <t xml:space="preserve">GEORGETOWN UNIVERSITY</t>
        </is>
      </c>
      <c r="G38" t="inlineStr">
        <is>
          <t xml:space="preserve">WASHINGTON</t>
        </is>
      </c>
      <c r="H38" t="inlineStr">
        <is>
          <t xml:space="preserve">DC</t>
        </is>
      </c>
      <c r="I38" t="inlineStr">
        <is>
          <t xml:space="preserve">NICHD</t>
        </is>
      </c>
      <c r="J38" t="inlineStr">
        <is>
          <t xml:space="preserve">Eunice Kennedy Shriver National Institute of Child Health and Human Development</t>
        </is>
      </c>
      <c r="K38" t="inlineStr">
        <is>
          <t xml:space="preserve">2026</t>
        </is>
      </c>
      <c r="L38" t="inlineStr">
        <is>
          <t xml:space="preserve">572237</t>
        </is>
      </c>
      <c r="M38" t="inlineStr">
        <is>
          <t xml:space="preserve">2026-09-21</t>
        </is>
      </c>
      <c r="N38" t="inlineStr">
        <is>
          <t xml:space="preserve">2031-05-31</t>
        </is>
      </c>
      <c r="O38" t="inlineStr">
        <is>
          <t xml:space="preserve">Small molecule</t>
        </is>
      </c>
      <c r="P38" s="3" t="str">
        <f>HYPERLINK("https://reporter.nih.gov/project-details/11367266","https://reporter.nih.gov/project-details/11367266")</f>
        <v>https://reporter.nih.gov/project-details/11367266</v>
      </c>
    </row>
    <row r="39">
      <c r="A39" t="inlineStr">
        <is>
          <t xml:space="preserve">2026-09-17</t>
        </is>
      </c>
      <c r="B39" t="inlineStr">
        <is>
          <t xml:space="preserve">1R01NS145253-01A1</t>
        </is>
      </c>
      <c r="C39" t="inlineStr">
        <is>
          <t xml:space="preserve">Gene–Environment–Gut Microbiome Interactions in Cadmium Neurotoxicity</t>
        </is>
      </c>
      <c r="D39" t="inlineStr">
        <is>
          <t xml:space="preserve">Hao Wang</t>
        </is>
      </c>
      <c r="E39" t="inlineStr">
        <is>
          <t xml:space="preserve">Hao Wang</t>
        </is>
      </c>
      <c r="F39" t="inlineStr">
        <is>
          <t xml:space="preserve">UNIVERSITY OF MICHIGAN AT ANN ARBOR</t>
        </is>
      </c>
      <c r="G39" t="inlineStr">
        <is>
          <t xml:space="preserve">ANN ARBOR</t>
        </is>
      </c>
      <c r="H39" t="inlineStr">
        <is>
          <t xml:space="preserve">MI</t>
        </is>
      </c>
      <c r="I39" t="inlineStr">
        <is>
          <t xml:space="preserve">NINDS</t>
        </is>
      </c>
      <c r="J39" t="inlineStr">
        <is>
          <t xml:space="preserve">National Institute of Neurological Disorders and Stroke</t>
        </is>
      </c>
      <c r="K39" t="inlineStr">
        <is>
          <t xml:space="preserve">2026</t>
        </is>
      </c>
      <c r="L39" t="inlineStr">
        <is>
          <t xml:space="preserve">607888</t>
        </is>
      </c>
      <c r="M39" t="inlineStr">
        <is>
          <t xml:space="preserve">2026-09-22</t>
        </is>
      </c>
      <c r="N39" t="inlineStr">
        <is>
          <t xml:space="preserve">2031-06-30</t>
        </is>
      </c>
      <c r="O39" t="inlineStr">
        <is>
          <t xml:space="preserve"/>
        </is>
      </c>
      <c r="P39" s="3" t="str">
        <f>HYPERLINK("https://reporter.nih.gov/project-details/11446322","https://reporter.nih.gov/project-details/11446322")</f>
        <v>https://reporter.nih.gov/project-details/11446322</v>
      </c>
    </row>
    <row r="40">
      <c r="A40" t="inlineStr">
        <is>
          <t xml:space="preserve">2026-09-17</t>
        </is>
      </c>
      <c r="B40" t="inlineStr">
        <is>
          <t xml:space="preserve">3P50HD105328-05S1</t>
        </is>
      </c>
      <c r="C40" t="inlineStr">
        <is>
          <t xml:space="preserve">Admin Supplement_District of Columbia Intellectual and Developmental Disabilities Research Center (DC-IDDRC)</t>
        </is>
      </c>
      <c r="D40" t="inlineStr">
        <is>
          <t xml:space="preserve">WILLIAM Davis GAILLARD</t>
        </is>
      </c>
      <c r="E40" t="inlineStr">
        <is>
          <t xml:space="preserve">WILLIAM Davis GAILLARD</t>
        </is>
      </c>
      <c r="F40" t="inlineStr">
        <is>
          <t xml:space="preserve">CHILDREN'S RESEARCH INSTITUTE</t>
        </is>
      </c>
      <c r="G40" t="inlineStr">
        <is>
          <t xml:space="preserve">WASHINGTON</t>
        </is>
      </c>
      <c r="H40" t="inlineStr">
        <is>
          <t xml:space="preserve">DC</t>
        </is>
      </c>
      <c r="I40" t="inlineStr">
        <is>
          <t xml:space="preserve">NICHD</t>
        </is>
      </c>
      <c r="J40" t="inlineStr">
        <is>
          <t xml:space="preserve">Eunice Kennedy Shriver National Institute of Child Health and Human Development</t>
        </is>
      </c>
      <c r="K40" t="inlineStr">
        <is>
          <t xml:space="preserve">2026</t>
        </is>
      </c>
      <c r="L40" t="inlineStr">
        <is>
          <t xml:space="preserve">1194878</t>
        </is>
      </c>
      <c r="M40" t="inlineStr">
        <is>
          <t xml:space="preserve">2026-09-22</t>
        </is>
      </c>
      <c r="N40" t="inlineStr">
        <is>
          <t xml:space="preserve">2027-05-31</t>
        </is>
      </c>
      <c r="O40" t="inlineStr">
        <is>
          <t xml:space="preserve">Small molecule, Device / stimulation</t>
        </is>
      </c>
      <c r="P40" s="3" t="str">
        <f>HYPERLINK("https://reporter.nih.gov/project-details/11520943","https://reporter.nih.gov/project-details/11520943")</f>
        <v>https://reporter.nih.gov/project-details/11520943</v>
      </c>
    </row>
    <row r="41">
      <c r="A41" t="inlineStr">
        <is>
          <t xml:space="preserve">2026-09-16</t>
        </is>
      </c>
      <c r="B41" t="inlineStr">
        <is>
          <t xml:space="preserve">4R01AG079917-02</t>
        </is>
      </c>
      <c r="C41" t="inlineStr">
        <is>
          <t xml:space="preserve">Sleep Spindle Dynamics as a Clinical Biomarker of Aging, Alzheimer's Disease, and Trisomy 21</t>
        </is>
      </c>
      <c r="D41" t="inlineStr">
        <is>
          <t xml:space="preserve">Michael J Prerau</t>
        </is>
      </c>
      <c r="E41" t="inlineStr">
        <is>
          <t xml:space="preserve">Uri Tzvi Eden; Michael J Prerau</t>
        </is>
      </c>
      <c r="F41" t="inlineStr">
        <is>
          <t xml:space="preserve">BRIGHAM AND WOMEN'S HOSPITAL</t>
        </is>
      </c>
      <c r="G41" t="inlineStr">
        <is>
          <t xml:space="preserve">BOSTON</t>
        </is>
      </c>
      <c r="H41" t="inlineStr">
        <is>
          <t xml:space="preserve">MA</t>
        </is>
      </c>
      <c r="I41" t="inlineStr">
        <is>
          <t xml:space="preserve">NIA</t>
        </is>
      </c>
      <c r="J41" t="inlineStr">
        <is>
          <t xml:space="preserve">National Institute on Aging</t>
        </is>
      </c>
      <c r="K41" t="inlineStr">
        <is>
          <t xml:space="preserve">2026</t>
        </is>
      </c>
      <c r="L41" t="inlineStr">
        <is>
          <t xml:space="preserve">831903</t>
        </is>
      </c>
      <c r="M41" t="inlineStr">
        <is>
          <t xml:space="preserve">2023-09-15</t>
        </is>
      </c>
      <c r="N41" t="inlineStr">
        <is>
          <t xml:space="preserve">2028-08-31</t>
        </is>
      </c>
      <c r="O41" t="inlineStr">
        <is>
          <t xml:space="preserve"/>
        </is>
      </c>
      <c r="P41" s="3" t="str">
        <f>HYPERLINK("https://reporter.nih.gov/project-details/11463474","https://reporter.nih.gov/project-details/11463474")</f>
        <v>https://reporter.nih.gov/project-details/11463474</v>
      </c>
    </row>
    <row r="42">
      <c r="A42" t="inlineStr">
        <is>
          <t xml:space="preserve">2026-09-16</t>
        </is>
      </c>
      <c r="B42" t="inlineStr">
        <is>
          <t xml:space="preserve">1R01ES038738-01</t>
        </is>
      </c>
      <c r="C42" t="inlineStr">
        <is>
          <t xml:space="preserve">Hippocampal Vulnerability to Environmental Pesticide Exposure</t>
        </is>
      </c>
      <c r="D42" t="inlineStr">
        <is>
          <t xml:space="preserve">Fernanda Laezza</t>
        </is>
      </c>
      <c r="E42" t="inlineStr">
        <is>
          <t xml:space="preserve">Fernanda Laezza; Anilkumar Pillai</t>
        </is>
      </c>
      <c r="F42" t="inlineStr">
        <is>
          <t xml:space="preserve">UNIVERSITY OF TEXAS MED BR GALVESTON</t>
        </is>
      </c>
      <c r="G42" t="inlineStr">
        <is>
          <t xml:space="preserve">GALVESTON</t>
        </is>
      </c>
      <c r="H42" t="inlineStr">
        <is>
          <t xml:space="preserve">TX</t>
        </is>
      </c>
      <c r="I42" t="inlineStr">
        <is>
          <t xml:space="preserve">NIEHS</t>
        </is>
      </c>
      <c r="J42" t="inlineStr">
        <is>
          <t xml:space="preserve">National Institute of Environmental Health Sciences</t>
        </is>
      </c>
      <c r="K42" t="inlineStr">
        <is>
          <t xml:space="preserve">2026</t>
        </is>
      </c>
      <c r="L42" t="inlineStr">
        <is>
          <t xml:space="preserve">722883</t>
        </is>
      </c>
      <c r="M42" t="inlineStr">
        <is>
          <t xml:space="preserve">2026-09-16</t>
        </is>
      </c>
      <c r="N42" t="inlineStr">
        <is>
          <t xml:space="preserve">2031-06-30</t>
        </is>
      </c>
      <c r="O42" t="inlineStr">
        <is>
          <t xml:space="preserve">Gene therapy</t>
        </is>
      </c>
      <c r="P42" s="3" t="str">
        <f>HYPERLINK("https://reporter.nih.gov/project-details/11367750","https://reporter.nih.gov/project-details/11367750")</f>
        <v>https://reporter.nih.gov/project-details/11367750</v>
      </c>
    </row>
    <row r="43">
      <c r="A43" t="inlineStr">
        <is>
          <t xml:space="preserve">2026-09-16</t>
        </is>
      </c>
      <c r="B43" t="inlineStr">
        <is>
          <t xml:space="preserve">1R03CA317617-01</t>
        </is>
      </c>
      <c r="C43" t="inlineStr">
        <is>
          <t xml:space="preserve">An Autism-associated Protein CNTNAP2 Promotes Peritoneal Adhesion of Ovarian Cancer Cells</t>
        </is>
      </c>
      <c r="D43" t="inlineStr">
        <is>
          <t xml:space="preserve">Maria V. Barbolina</t>
        </is>
      </c>
      <c r="E43" t="inlineStr">
        <is>
          <t xml:space="preserve">Maria V. Barbolina</t>
        </is>
      </c>
      <c r="F43" t="inlineStr">
        <is>
          <t xml:space="preserve">UNIVERSITY OF ILLINOIS AT CHICAGO</t>
        </is>
      </c>
      <c r="G43" t="inlineStr">
        <is>
          <t xml:space="preserve">Chicago</t>
        </is>
      </c>
      <c r="H43" t="inlineStr">
        <is>
          <t xml:space="preserve">IL</t>
        </is>
      </c>
      <c r="I43" t="inlineStr">
        <is>
          <t xml:space="preserve">NCI</t>
        </is>
      </c>
      <c r="J43" t="inlineStr">
        <is>
          <t xml:space="preserve">National Cancer Institute</t>
        </is>
      </c>
      <c r="K43" t="inlineStr">
        <is>
          <t xml:space="preserve">2026</t>
        </is>
      </c>
      <c r="L43" t="inlineStr">
        <is>
          <t xml:space="preserve">76601</t>
        </is>
      </c>
      <c r="M43" t="inlineStr">
        <is>
          <t xml:space="preserve">2026-09-15</t>
        </is>
      </c>
      <c r="N43" t="inlineStr">
        <is>
          <t xml:space="preserve">2028-08-31</t>
        </is>
      </c>
      <c r="O43" t="inlineStr">
        <is>
          <t xml:space="preserve"/>
        </is>
      </c>
      <c r="P43" s="3" t="str">
        <f>HYPERLINK("https://reporter.nih.gov/project-details/11437637","https://reporter.nih.gov/project-details/11437637")</f>
        <v>https://reporter.nih.gov/project-details/11437637</v>
      </c>
    </row>
    <row r="44">
      <c r="A44" t="inlineStr">
        <is>
          <t xml:space="preserve">2026-09-16</t>
        </is>
      </c>
      <c r="B44" t="inlineStr">
        <is>
          <t xml:space="preserve">1R56NS144404-01A1</t>
        </is>
      </c>
      <c r="C44" t="inlineStr">
        <is>
          <t xml:space="preserve">Mechanisms of GABAA receptor gating and allosteric modulation</t>
        </is>
      </c>
      <c r="D44" t="inlineStr">
        <is>
          <t xml:space="preserve">Marcel Paz Goldschen-Ohm</t>
        </is>
      </c>
      <c r="E44" t="inlineStr">
        <is>
          <t xml:space="preserve">Marcel Paz Goldschen-Ohm</t>
        </is>
      </c>
      <c r="F44" t="inlineStr">
        <is>
          <t xml:space="preserve">UNIVERSITY OF TEXAS AT AUSTIN</t>
        </is>
      </c>
      <c r="G44" t="inlineStr">
        <is>
          <t xml:space="preserve">AUSTIN</t>
        </is>
      </c>
      <c r="H44" t="inlineStr">
        <is>
          <t xml:space="preserve">TX</t>
        </is>
      </c>
      <c r="I44" t="inlineStr">
        <is>
          <t xml:space="preserve">NINDS</t>
        </is>
      </c>
      <c r="J44" t="inlineStr">
        <is>
          <t xml:space="preserve">National Institute of Neurological Disorders and Stroke</t>
        </is>
      </c>
      <c r="K44" t="inlineStr">
        <is>
          <t xml:space="preserve">2026</t>
        </is>
      </c>
      <c r="L44" t="inlineStr">
        <is>
          <t xml:space="preserve">411668</t>
        </is>
      </c>
      <c r="M44" t="inlineStr">
        <is>
          <t xml:space="preserve">2026-09-15</t>
        </is>
      </c>
      <c r="N44" t="inlineStr">
        <is>
          <t xml:space="preserve">2027-08-31</t>
        </is>
      </c>
      <c r="O44" t="inlineStr">
        <is>
          <t xml:space="preserve">Small molecule</t>
        </is>
      </c>
      <c r="P44" s="3" t="str">
        <f>HYPERLINK("https://reporter.nih.gov/project-details/11614082","https://reporter.nih.gov/project-details/11614082")</f>
        <v>https://reporter.nih.gov/project-details/11614082</v>
      </c>
    </row>
    <row r="45">
      <c r="A45" t="inlineStr">
        <is>
          <t xml:space="preserve">2026-09-15</t>
        </is>
      </c>
      <c r="B45" t="inlineStr">
        <is>
          <t xml:space="preserve">1R01ES038913-01</t>
        </is>
      </c>
      <c r="C45" t="inlineStr">
        <is>
          <t xml:space="preserve">Glyphosate Exposure and Young Adult Metabolic Health: Epigenetic and Oxidative Stress Mechanisms</t>
        </is>
      </c>
      <c r="D45" t="inlineStr">
        <is>
          <t xml:space="preserve">Robert Gunier</t>
        </is>
      </c>
      <c r="E45" t="inlineStr">
        <is>
          <t xml:space="preserve">Robert Gunier</t>
        </is>
      </c>
      <c r="F45" t="inlineStr">
        <is>
          <t xml:space="preserve">UNIVERSITY OF CALIFORNIA BERKELEY</t>
        </is>
      </c>
      <c r="G45" t="inlineStr">
        <is>
          <t xml:space="preserve">BERKELEY</t>
        </is>
      </c>
      <c r="H45" t="inlineStr">
        <is>
          <t xml:space="preserve">CA</t>
        </is>
      </c>
      <c r="I45" t="inlineStr">
        <is>
          <t xml:space="preserve">NIEHS</t>
        </is>
      </c>
      <c r="J45" t="inlineStr">
        <is>
          <t xml:space="preserve">National Institute of Environmental Health Sciences</t>
        </is>
      </c>
      <c r="K45" t="inlineStr">
        <is>
          <t xml:space="preserve">2026</t>
        </is>
      </c>
      <c r="L45" t="inlineStr">
        <is>
          <t xml:space="preserve">806497</t>
        </is>
      </c>
      <c r="M45" t="inlineStr">
        <is>
          <t xml:space="preserve">2026-09-16</t>
        </is>
      </c>
      <c r="N45" t="inlineStr">
        <is>
          <t xml:space="preserve">2031-06-30</t>
        </is>
      </c>
      <c r="O45" t="inlineStr">
        <is>
          <t xml:space="preserve"/>
        </is>
      </c>
      <c r="P45" s="3" t="str">
        <f>HYPERLINK("https://reporter.nih.gov/project-details/11432034","https://reporter.nih.gov/project-details/11432034")</f>
        <v>https://reporter.nih.gov/project-details/11432034</v>
      </c>
    </row>
    <row r="46">
      <c r="A46" t="inlineStr">
        <is>
          <t xml:space="preserve">2026-09-15</t>
        </is>
      </c>
      <c r="B46" t="inlineStr">
        <is>
          <t xml:space="preserve">5R00NS129753-04</t>
        </is>
      </c>
      <c r="C46" t="inlineStr">
        <is>
          <t xml:space="preserve">Cell Type-Specific Mechanisms of History-Dependent Perceptual Biases in Sensory Cortex</t>
        </is>
      </c>
      <c r="D46" t="inlineStr">
        <is>
          <t xml:space="preserve">Deepa L Ramamurthy</t>
        </is>
      </c>
      <c r="E46" t="inlineStr">
        <is>
          <t xml:space="preserve">Deepa L Ramamurthy</t>
        </is>
      </c>
      <c r="F46" t="inlineStr">
        <is>
          <t xml:space="preserve">UNIVERSITY OF CALIFORNIA RIVERSIDE</t>
        </is>
      </c>
      <c r="G46" t="inlineStr">
        <is>
          <t xml:space="preserve">RIVERSIDE</t>
        </is>
      </c>
      <c r="H46" t="inlineStr">
        <is>
          <t xml:space="preserve">CA</t>
        </is>
      </c>
      <c r="I46" t="inlineStr">
        <is>
          <t xml:space="preserve">NINDS</t>
        </is>
      </c>
      <c r="J46" t="inlineStr">
        <is>
          <t xml:space="preserve">National Institute of Neurological Disorders and Stroke</t>
        </is>
      </c>
      <c r="K46" t="inlineStr">
        <is>
          <t xml:space="preserve">2026</t>
        </is>
      </c>
      <c r="L46" t="inlineStr">
        <is>
          <t xml:space="preserve">224100</t>
        </is>
      </c>
      <c r="M46" t="inlineStr">
        <is>
          <t xml:space="preserve">2023-08-15</t>
        </is>
      </c>
      <c r="N46" t="inlineStr">
        <is>
          <t xml:space="preserve">2028-07-31</t>
        </is>
      </c>
      <c r="O46" t="inlineStr">
        <is>
          <t xml:space="preserve">Device / stimulation</t>
        </is>
      </c>
      <c r="P46" s="3" t="str">
        <f>HYPERLINK("https://reporter.nih.gov/project-details/11397569","https://reporter.nih.gov/project-details/11397569")</f>
        <v>https://reporter.nih.gov/project-details/11397569</v>
      </c>
    </row>
    <row r="47">
      <c r="A47" t="inlineStr">
        <is>
          <t xml:space="preserve">2026-09-14</t>
        </is>
      </c>
      <c r="B47" t="inlineStr">
        <is>
          <t xml:space="preserve">1K99HD121817-01</t>
        </is>
      </c>
      <c r="C47" t="inlineStr">
        <is>
          <t xml:space="preserve">Neural Mechanisms of Statistically-Guided Attention in Infancy: Awake Functional Developmental Neuroimaging</t>
        </is>
      </c>
      <c r="D47" t="inlineStr">
        <is>
          <t xml:space="preserve">Caitlin A Sisk</t>
        </is>
      </c>
      <c r="E47" t="inlineStr">
        <is>
          <t xml:space="preserve">Caitlin A Sisk</t>
        </is>
      </c>
      <c r="F47" t="inlineStr">
        <is>
          <t xml:space="preserve">UNIVERSITY OF MINNESOTA</t>
        </is>
      </c>
      <c r="G47" t="inlineStr">
        <is>
          <t xml:space="preserve">MINNEAPOLIS</t>
        </is>
      </c>
      <c r="H47" t="inlineStr">
        <is>
          <t xml:space="preserve">MN</t>
        </is>
      </c>
      <c r="I47" t="inlineStr">
        <is>
          <t xml:space="preserve">NICHD</t>
        </is>
      </c>
      <c r="J47" t="inlineStr">
        <is>
          <t xml:space="preserve">Eunice Kennedy Shriver National Institute of Child Health and Human Development</t>
        </is>
      </c>
      <c r="K47" t="inlineStr">
        <is>
          <t xml:space="preserve">2026</t>
        </is>
      </c>
      <c r="L47" t="inlineStr">
        <is>
          <t xml:space="preserve">110934</t>
        </is>
      </c>
      <c r="M47" t="inlineStr">
        <is>
          <t xml:space="preserve">2026-09-10</t>
        </is>
      </c>
      <c r="N47" t="inlineStr">
        <is>
          <t xml:space="preserve">2028-08-31</t>
        </is>
      </c>
      <c r="O47" t="inlineStr">
        <is>
          <t xml:space="preserve">Behavioral</t>
        </is>
      </c>
      <c r="P47" s="3" t="str">
        <f>HYPERLINK("https://reporter.nih.gov/project-details/11348324","https://reporter.nih.gov/project-details/11348324")</f>
        <v>https://reporter.nih.gov/project-details/11348324</v>
      </c>
    </row>
    <row r="48">
      <c r="A48" t="inlineStr">
        <is>
          <t xml:space="preserve">2026-09-14</t>
        </is>
      </c>
      <c r="B48" t="inlineStr">
        <is>
          <t xml:space="preserve">1P50MH144133-01</t>
        </is>
      </c>
      <c r="C48" t="inlineStr">
        <is>
          <t xml:space="preserve">Duke Conte Center for Basic Neuroscience on Kinase Signaling in Neurodevelopmental Disorders</t>
        </is>
      </c>
      <c r="D48" t="inlineStr">
        <is>
          <t xml:space="preserve">SCOTT H SODERLING</t>
        </is>
      </c>
      <c r="E48" t="inlineStr">
        <is>
          <t xml:space="preserve">Cagla Eroglu; SCOTT H SODERLING; Debra L. Silver</t>
        </is>
      </c>
      <c r="F48" t="inlineStr">
        <is>
          <t xml:space="preserve">DUKE UNIVERSITY</t>
        </is>
      </c>
      <c r="G48" t="inlineStr">
        <is>
          <t xml:space="preserve">DURHAM</t>
        </is>
      </c>
      <c r="H48" t="inlineStr">
        <is>
          <t xml:space="preserve">NC</t>
        </is>
      </c>
      <c r="I48" t="inlineStr">
        <is>
          <t xml:space="preserve">NIMH</t>
        </is>
      </c>
      <c r="J48" t="inlineStr">
        <is>
          <t xml:space="preserve">National Institute of Mental Health</t>
        </is>
      </c>
      <c r="K48" t="inlineStr">
        <is>
          <t xml:space="preserve">2026</t>
        </is>
      </c>
      <c r="L48" t="inlineStr">
        <is>
          <t xml:space="preserve">3068480</t>
        </is>
      </c>
      <c r="M48" t="inlineStr">
        <is>
          <t xml:space="preserve">2026-09-15</t>
        </is>
      </c>
      <c r="N48" t="inlineStr">
        <is>
          <t xml:space="preserve">2031-07-31</t>
        </is>
      </c>
      <c r="O48" t="inlineStr">
        <is>
          <t xml:space="preserve">Peptide, Small molecule</t>
        </is>
      </c>
      <c r="P48" s="3" t="str">
        <f>HYPERLINK("https://reporter.nih.gov/project-details/11348636","https://reporter.nih.gov/project-details/11348636")</f>
        <v>https://reporter.nih.gov/project-details/11348636</v>
      </c>
    </row>
    <row r="49">
      <c r="A49" t="inlineStr">
        <is>
          <t xml:space="preserve">2026-09-14</t>
        </is>
      </c>
      <c r="B49" t="inlineStr">
        <is>
          <t xml:space="preserve">1R61NS150122-01</t>
        </is>
      </c>
      <c r="C49" t="inlineStr">
        <is>
          <t xml:space="preserve">Development of a SCN1B gene replacement therapy for DEE52</t>
        </is>
      </c>
      <c r="D49" t="inlineStr">
        <is>
          <t xml:space="preserve">Lori L Isom</t>
        </is>
      </c>
      <c r="E49" t="inlineStr">
        <is>
          <t xml:space="preserve">Lori L Isom</t>
        </is>
      </c>
      <c r="F49" t="inlineStr">
        <is>
          <t xml:space="preserve">UNIVERSITY OF MICHIGAN AT ANN ARBOR</t>
        </is>
      </c>
      <c r="G49" t="inlineStr">
        <is>
          <t xml:space="preserve">ANN ARBOR</t>
        </is>
      </c>
      <c r="H49" t="inlineStr">
        <is>
          <t xml:space="preserve">MI</t>
        </is>
      </c>
      <c r="I49" t="inlineStr">
        <is>
          <t xml:space="preserve">NINDS</t>
        </is>
      </c>
      <c r="J49" t="inlineStr">
        <is>
          <t xml:space="preserve">National Institute of Neurological Disorders and Stroke</t>
        </is>
      </c>
      <c r="K49" t="inlineStr">
        <is>
          <t xml:space="preserve">2026</t>
        </is>
      </c>
      <c r="L49" t="inlineStr">
        <is>
          <t xml:space="preserve">378320</t>
        </is>
      </c>
      <c r="M49" t="inlineStr">
        <is>
          <t xml:space="preserve">2026-09-14</t>
        </is>
      </c>
      <c r="N49" t="inlineStr">
        <is>
          <t xml:space="preserve">2028-08-31</t>
        </is>
      </c>
      <c r="O49" t="inlineStr">
        <is>
          <t xml:space="preserve">Gene therapy, Viral vector, Peptide, Small molecule</t>
        </is>
      </c>
      <c r="P49" s="3" t="str">
        <f>HYPERLINK("https://reporter.nih.gov/project-details/11439111","https://reporter.nih.gov/project-details/11439111")</f>
        <v>https://reporter.nih.gov/project-details/11439111</v>
      </c>
    </row>
    <row r="50">
      <c r="A50" t="inlineStr">
        <is>
          <t xml:space="preserve">2026-09-14</t>
        </is>
      </c>
      <c r="B50" t="inlineStr">
        <is>
          <t xml:space="preserve">1R01HD121476-01A1</t>
        </is>
      </c>
      <c r="C50" t="inlineStr">
        <is>
          <t xml:space="preserve">Leveraging Mobile Tools to Investigate Emotion Dynamics and Behavior in Autistic Youth with Depression</t>
        </is>
      </c>
      <c r="D50" t="inlineStr">
        <is>
          <t xml:space="preserve">Erin Elizabeth Long</t>
        </is>
      </c>
      <c r="E50" t="inlineStr">
        <is>
          <t xml:space="preserve">Erin Elizabeth Long</t>
        </is>
      </c>
      <c r="F50" t="inlineStr">
        <is>
          <t xml:space="preserve">MEDICAL COLLEGE OF WISCONSIN</t>
        </is>
      </c>
      <c r="G50" t="inlineStr">
        <is>
          <t xml:space="preserve">MILWAUKEE</t>
        </is>
      </c>
      <c r="H50" t="inlineStr">
        <is>
          <t xml:space="preserve">WI</t>
        </is>
      </c>
      <c r="I50" t="inlineStr">
        <is>
          <t xml:space="preserve">NICHD</t>
        </is>
      </c>
      <c r="J50" t="inlineStr">
        <is>
          <t xml:space="preserve">Eunice Kennedy Shriver National Institute of Child Health and Human Development</t>
        </is>
      </c>
      <c r="K50" t="inlineStr">
        <is>
          <t xml:space="preserve">2026</t>
        </is>
      </c>
      <c r="L50" t="inlineStr">
        <is>
          <t xml:space="preserve">555440</t>
        </is>
      </c>
      <c r="M50" t="inlineStr">
        <is>
          <t xml:space="preserve">2026-09-10</t>
        </is>
      </c>
      <c r="N50" t="inlineStr">
        <is>
          <t xml:space="preserve">2031-04-30</t>
        </is>
      </c>
      <c r="O50" t="inlineStr">
        <is>
          <t xml:space="preserve">Device / stimulation, Behavioral</t>
        </is>
      </c>
      <c r="P50" s="3" t="str">
        <f>HYPERLINK("https://reporter.nih.gov/project-details/11444740","https://reporter.nih.gov/project-details/11444740")</f>
        <v>https://reporter.nih.gov/project-details/11444740</v>
      </c>
    </row>
    <row r="51">
      <c r="A51" t="inlineStr">
        <is>
          <t xml:space="preserve">2026-09-14</t>
        </is>
      </c>
      <c r="B51" t="inlineStr">
        <is>
          <t xml:space="preserve">1R01HD123710-01</t>
        </is>
      </c>
      <c r="C51" t="inlineStr">
        <is>
          <t xml:space="preserve">The eye of the beholder: Social communication and motivation across informants, partners and contexts in autism</t>
        </is>
      </c>
      <c r="D51" t="inlineStr">
        <is>
          <t xml:space="preserve">Clare Elizabeth Harrop</t>
        </is>
      </c>
      <c r="E51" t="inlineStr">
        <is>
          <t xml:space="preserve">Rebecca Lynn Grzadzinski; Clare Elizabeth Harrop; Julia Parish-Morris</t>
        </is>
      </c>
      <c r="F51" t="inlineStr">
        <is>
          <t xml:space="preserve">UNIV OF NORTH CAROLINA CHAPEL HILL</t>
        </is>
      </c>
      <c r="G51" t="inlineStr">
        <is>
          <t xml:space="preserve">CHAPEL HILL</t>
        </is>
      </c>
      <c r="H51" t="inlineStr">
        <is>
          <t xml:space="preserve">NC</t>
        </is>
      </c>
      <c r="I51" t="inlineStr">
        <is>
          <t xml:space="preserve">NICHD</t>
        </is>
      </c>
      <c r="J51" t="inlineStr">
        <is>
          <t xml:space="preserve">Eunice Kennedy Shriver National Institute of Child Health and Human Development</t>
        </is>
      </c>
      <c r="K51" t="inlineStr">
        <is>
          <t xml:space="preserve">2026</t>
        </is>
      </c>
      <c r="L51" t="inlineStr">
        <is>
          <t xml:space="preserve">671090</t>
        </is>
      </c>
      <c r="M51" t="inlineStr">
        <is>
          <t xml:space="preserve">2026-09-14</t>
        </is>
      </c>
      <c r="N51" t="inlineStr">
        <is>
          <t xml:space="preserve">2031-06-30</t>
        </is>
      </c>
      <c r="O51" t="inlineStr">
        <is>
          <t xml:space="preserve"/>
        </is>
      </c>
      <c r="P51" s="3" t="str">
        <f>HYPERLINK("https://reporter.nih.gov/project-details/11465716","https://reporter.nih.gov/project-details/11465716")</f>
        <v>https://reporter.nih.gov/project-details/11465716</v>
      </c>
    </row>
    <row r="52">
      <c r="A52" t="inlineStr">
        <is>
          <t xml:space="preserve">2026-09-11</t>
        </is>
      </c>
      <c r="B52" t="inlineStr">
        <is>
          <t xml:space="preserve">2R01HD079512-11</t>
        </is>
      </c>
      <c r="C52" t="inlineStr">
        <is>
          <t xml:space="preserve">Change-sensitive Assessment of Emotion Dysregulation in ASD Across the Lifespan</t>
        </is>
      </c>
      <c r="D52" t="inlineStr">
        <is>
          <t xml:space="preserve">Carla A Mazefsky</t>
        </is>
      </c>
      <c r="E52" t="inlineStr">
        <is>
          <t xml:space="preserve">Carla A Mazefsky</t>
        </is>
      </c>
      <c r="F52" t="inlineStr">
        <is>
          <t xml:space="preserve">UNIVERSITY OF PITTSBURGH AT PITTSBURGH</t>
        </is>
      </c>
      <c r="G52" t="inlineStr">
        <is>
          <t xml:space="preserve">PITTSBURGH</t>
        </is>
      </c>
      <c r="H52" t="inlineStr">
        <is>
          <t xml:space="preserve">PA</t>
        </is>
      </c>
      <c r="I52" t="inlineStr">
        <is>
          <t xml:space="preserve">NICHD</t>
        </is>
      </c>
      <c r="J52" t="inlineStr">
        <is>
          <t xml:space="preserve">Eunice Kennedy Shriver National Institute of Child Health and Human Development</t>
        </is>
      </c>
      <c r="K52" t="inlineStr">
        <is>
          <t xml:space="preserve">2026</t>
        </is>
      </c>
      <c r="L52" t="inlineStr">
        <is>
          <t xml:space="preserve">672029</t>
        </is>
      </c>
      <c r="M52" t="inlineStr">
        <is>
          <t xml:space="preserve">2014-09-10</t>
        </is>
      </c>
      <c r="N52" t="inlineStr">
        <is>
          <t xml:space="preserve">2031-08-31</t>
        </is>
      </c>
      <c r="O52" t="inlineStr">
        <is>
          <t xml:space="preserve"/>
        </is>
      </c>
      <c r="P52" s="3" t="str">
        <f>HYPERLINK("https://reporter.nih.gov/project-details/11455491","https://reporter.nih.gov/project-details/11455491")</f>
        <v>https://reporter.nih.gov/project-details/11455491</v>
      </c>
    </row>
    <row r="53">
      <c r="A53" t="inlineStr">
        <is>
          <t xml:space="preserve">2026-09-11</t>
        </is>
      </c>
      <c r="B53" t="inlineStr">
        <is>
          <t xml:space="preserve">7U24HG007497-12</t>
        </is>
      </c>
      <c r="C53" t="inlineStr">
        <is>
          <t xml:space="preserve">Identifying and Characterizing the Full Spectrum of Haplotype-resolved Structural Variation in Human Genomes</t>
        </is>
      </c>
      <c r="D53" t="inlineStr">
        <is>
          <t xml:space="preserve">CHARLES LEE</t>
        </is>
      </c>
      <c r="E53" t="inlineStr">
        <is>
          <t xml:space="preserve">Evan Eichler; CHARLES LEE</t>
        </is>
      </c>
      <c r="F53" t="inlineStr">
        <is>
          <t xml:space="preserve">UNIVERSITY OF CONNECTICUT SCH OF MED/DNT</t>
        </is>
      </c>
      <c r="G53" t="inlineStr">
        <is>
          <t xml:space="preserve">FARMINGTON</t>
        </is>
      </c>
      <c r="H53" t="inlineStr">
        <is>
          <t xml:space="preserve">CT</t>
        </is>
      </c>
      <c r="I53" t="inlineStr">
        <is>
          <t xml:space="preserve">NHGRI</t>
        </is>
      </c>
      <c r="J53" t="inlineStr">
        <is>
          <t xml:space="preserve">National Human Genome Research Institute</t>
        </is>
      </c>
      <c r="K53" t="inlineStr">
        <is>
          <t xml:space="preserve">2026</t>
        </is>
      </c>
      <c r="L53" t="inlineStr">
        <is>
          <t xml:space="preserve">1742633</t>
        </is>
      </c>
      <c r="M53" t="inlineStr">
        <is>
          <t xml:space="preserve">2013-09-20</t>
        </is>
      </c>
      <c r="N53" t="inlineStr">
        <is>
          <t xml:space="preserve">2028-03-31</t>
        </is>
      </c>
      <c r="O53" t="inlineStr">
        <is>
          <t xml:space="preserve"/>
        </is>
      </c>
      <c r="P53" s="3" t="str">
        <f>HYPERLINK("https://reporter.nih.gov/project-details/11586136","https://reporter.nih.gov/project-details/11586136")</f>
        <v>https://reporter.nih.gov/project-details/11586136</v>
      </c>
    </row>
    <row r="54">
      <c r="A54" t="inlineStr">
        <is>
          <t xml:space="preserve">2026-09-11</t>
        </is>
      </c>
      <c r="B54" t="inlineStr">
        <is>
          <t xml:space="preserve">1R21HD123275-01</t>
        </is>
      </c>
      <c r="C54" t="inlineStr">
        <is>
          <t xml:space="preserve">Sleep and Mood Dysregulation in Fragile X Syndrome: A Multidisciplinary Investigation of Behavioral and Neurobiological Correlates</t>
        </is>
      </c>
      <c r="D54" t="inlineStr">
        <is>
          <t xml:space="preserve">Kimberly Frances Raab-Graham</t>
        </is>
      </c>
      <c r="E54" t="inlineStr">
        <is>
          <t xml:space="preserve">Robert Warren Gould; Kimberly Frances Raab-Graham</t>
        </is>
      </c>
      <c r="F54" t="inlineStr">
        <is>
          <t xml:space="preserve">WAKE FOREST UNIVERSITY HEALTH SCIENCES</t>
        </is>
      </c>
      <c r="G54" t="inlineStr">
        <is>
          <t xml:space="preserve">WINSTON-SALEM</t>
        </is>
      </c>
      <c r="H54" t="inlineStr">
        <is>
          <t xml:space="preserve">NC</t>
        </is>
      </c>
      <c r="I54" t="inlineStr">
        <is>
          <t xml:space="preserve">NICHD</t>
        </is>
      </c>
      <c r="J54" t="inlineStr">
        <is>
          <t xml:space="preserve">Eunice Kennedy Shriver National Institute of Child Health and Human Development</t>
        </is>
      </c>
      <c r="K54" t="inlineStr">
        <is>
          <t xml:space="preserve">2026</t>
        </is>
      </c>
      <c r="L54" t="inlineStr">
        <is>
          <t xml:space="preserve">417249</t>
        </is>
      </c>
      <c r="M54" t="inlineStr">
        <is>
          <t xml:space="preserve">2026-09-11</t>
        </is>
      </c>
      <c r="N54" t="inlineStr">
        <is>
          <t xml:space="preserve">2028-08-31</t>
        </is>
      </c>
      <c r="O54" t="inlineStr">
        <is>
          <t xml:space="preserve">Peptide, Small molecule, Device / stimulation</t>
        </is>
      </c>
      <c r="P54" s="3" t="str">
        <f>HYPERLINK("https://reporter.nih.gov/project-details/11456853","https://reporter.nih.gov/project-details/11456853")</f>
        <v>https://reporter.nih.gov/project-details/11456853</v>
      </c>
    </row>
    <row r="55">
      <c r="A55" t="inlineStr">
        <is>
          <t xml:space="preserve">2026-09-11</t>
        </is>
      </c>
      <c r="B55" t="inlineStr">
        <is>
          <t xml:space="preserve">1R01MH145341-01</t>
        </is>
      </c>
      <c r="C55" t="inlineStr">
        <is>
          <t xml:space="preserve">Genetic mechanisms of regional specification and maturation of the cerebral cortex</t>
        </is>
      </c>
      <c r="D55" t="inlineStr">
        <is>
          <t xml:space="preserve">Kartik Pattabiraman</t>
        </is>
      </c>
      <c r="E55" t="inlineStr">
        <is>
          <t xml:space="preserve">Kartik Pattabiraman</t>
        </is>
      </c>
      <c r="F55" t="inlineStr">
        <is>
          <t xml:space="preserve">YALE UNIVERSITY</t>
        </is>
      </c>
      <c r="G55" t="inlineStr">
        <is>
          <t xml:space="preserve">NEW HAVEN</t>
        </is>
      </c>
      <c r="H55" t="inlineStr">
        <is>
          <t xml:space="preserve">CT</t>
        </is>
      </c>
      <c r="I55" t="inlineStr">
        <is>
          <t xml:space="preserve">NIMH</t>
        </is>
      </c>
      <c r="J55" t="inlineStr">
        <is>
          <t xml:space="preserve">National Institute of Mental Health</t>
        </is>
      </c>
      <c r="K55" t="inlineStr">
        <is>
          <t xml:space="preserve">2026</t>
        </is>
      </c>
      <c r="L55" t="inlineStr">
        <is>
          <t xml:space="preserve">636483</t>
        </is>
      </c>
      <c r="M55" t="inlineStr">
        <is>
          <t xml:space="preserve">2026-09-15</t>
        </is>
      </c>
      <c r="N55" t="inlineStr">
        <is>
          <t xml:space="preserve">2031-08-31</t>
        </is>
      </c>
      <c r="O55" t="inlineStr">
        <is>
          <t xml:space="preserve"/>
        </is>
      </c>
      <c r="P55" s="3" t="str">
        <f>HYPERLINK("https://reporter.nih.gov/project-details/11427706","https://reporter.nih.gov/project-details/11427706")</f>
        <v>https://reporter.nih.gov/project-details/11427706</v>
      </c>
    </row>
    <row r="56">
      <c r="A56" t="inlineStr">
        <is>
          <t xml:space="preserve">2026-09-11</t>
        </is>
      </c>
      <c r="B56" t="inlineStr">
        <is>
          <t xml:space="preserve">1R21NS147529-01A1</t>
        </is>
      </c>
      <c r="C56" t="inlineStr">
        <is>
          <t xml:space="preserve">VIP Interneuron Dysfunction in Tuberous Sclerosis Complex</t>
        </is>
      </c>
      <c r="D56" t="inlineStr">
        <is>
          <t xml:space="preserve">Shane R Crandall</t>
        </is>
      </c>
      <c r="E56" t="inlineStr">
        <is>
          <t xml:space="preserve">Shane R Crandall</t>
        </is>
      </c>
      <c r="F56" t="inlineStr">
        <is>
          <t xml:space="preserve">HENRY FORD HEALTH + MICHIGAN STATE UNIVERSITY HEALTH SCIENCES</t>
        </is>
      </c>
      <c r="G56" t="inlineStr">
        <is>
          <t xml:space="preserve">EAST LANSING</t>
        </is>
      </c>
      <c r="H56" t="inlineStr">
        <is>
          <t xml:space="preserve">MI</t>
        </is>
      </c>
      <c r="I56" t="inlineStr">
        <is>
          <t xml:space="preserve">NINDS</t>
        </is>
      </c>
      <c r="J56" t="inlineStr">
        <is>
          <t xml:space="preserve">National Institute of Neurological Disorders and Stroke</t>
        </is>
      </c>
      <c r="K56" t="inlineStr">
        <is>
          <t xml:space="preserve">2026</t>
        </is>
      </c>
      <c r="L56" t="inlineStr">
        <is>
          <t xml:space="preserve">431750</t>
        </is>
      </c>
      <c r="M56" t="inlineStr">
        <is>
          <t xml:space="preserve">2026-09-11</t>
        </is>
      </c>
      <c r="N56" t="inlineStr">
        <is>
          <t xml:space="preserve">2028-08-31</t>
        </is>
      </c>
      <c r="O56" t="inlineStr">
        <is>
          <t xml:space="preserve">Peptide, Small molecule</t>
        </is>
      </c>
      <c r="P56" s="3" t="str">
        <f>HYPERLINK("https://reporter.nih.gov/project-details/11461450","https://reporter.nih.gov/project-details/11461450")</f>
        <v>https://reporter.nih.gov/project-details/11461450</v>
      </c>
    </row>
    <row r="57">
      <c r="A57" t="inlineStr">
        <is>
          <t xml:space="preserve">2026-09-11</t>
        </is>
      </c>
      <c r="B57" t="inlineStr">
        <is>
          <t xml:space="preserve">7R21EY036651-03</t>
        </is>
      </c>
      <c r="C57" t="inlineStr">
        <is>
          <t xml:space="preserve">Molecular design for circuit engineering in the Drosophila brain</t>
        </is>
      </c>
      <c r="D57" t="inlineStr">
        <is>
          <t xml:space="preserve">Marco Gallio</t>
        </is>
      </c>
      <c r="E57" t="inlineStr">
        <is>
          <t xml:space="preserve">Marco Gallio; Engin Ozkan</t>
        </is>
      </c>
      <c r="F57" t="inlineStr">
        <is>
          <t xml:space="preserve">NORTHWESTERN UNIVERSITY</t>
        </is>
      </c>
      <c r="G57" t="inlineStr">
        <is>
          <t xml:space="preserve">CHICAGO</t>
        </is>
      </c>
      <c r="H57" t="inlineStr">
        <is>
          <t xml:space="preserve">IL</t>
        </is>
      </c>
      <c r="I57" t="inlineStr">
        <is>
          <t xml:space="preserve">NEI</t>
        </is>
      </c>
      <c r="J57" t="inlineStr">
        <is>
          <t xml:space="preserve">National Eye Institute</t>
        </is>
      </c>
      <c r="K57" t="inlineStr">
        <is>
          <t xml:space="preserve">2026</t>
        </is>
      </c>
      <c r="L57" t="inlineStr">
        <is>
          <t xml:space="preserve">196573</t>
        </is>
      </c>
      <c r="M57" t="inlineStr">
        <is>
          <t xml:space="preserve">2024-09-01</t>
        </is>
      </c>
      <c r="N57" t="inlineStr">
        <is>
          <t xml:space="preserve">2027-08-31</t>
        </is>
      </c>
      <c r="O57" t="inlineStr">
        <is>
          <t xml:space="preserve"/>
        </is>
      </c>
      <c r="P57" s="3" t="str">
        <f>HYPERLINK("https://reporter.nih.gov/project-details/11384529","https://reporter.nih.gov/project-details/11384529")</f>
        <v>https://reporter.nih.gov/project-details/11384529</v>
      </c>
    </row>
    <row r="58">
      <c r="A58" t="inlineStr">
        <is>
          <t xml:space="preserve">2026-09-10</t>
        </is>
      </c>
      <c r="B58" t="inlineStr">
        <is>
          <t xml:space="preserve">1U01AG098025-01</t>
        </is>
      </c>
      <c r="C58" t="inlineStr">
        <is>
          <t xml:space="preserve">Discovering sex-specific biomarkers for Alzheimer's disease</t>
        </is>
      </c>
      <c r="D58" t="inlineStr">
        <is>
          <t xml:space="preserve">OLIVIER LICHTARGE</t>
        </is>
      </c>
      <c r="E58" t="inlineStr">
        <is>
          <t xml:space="preserve">Ismael Al-Ramahi; OLIVIER LICHTARGE</t>
        </is>
      </c>
      <c r="F58" t="inlineStr">
        <is>
          <t xml:space="preserve">BAYLOR COLLEGE OF MEDICINE</t>
        </is>
      </c>
      <c r="G58" t="inlineStr">
        <is>
          <t xml:space="preserve">HOUSTON</t>
        </is>
      </c>
      <c r="H58" t="inlineStr">
        <is>
          <t xml:space="preserve">TX</t>
        </is>
      </c>
      <c r="I58" t="inlineStr">
        <is>
          <t xml:space="preserve">NIA</t>
        </is>
      </c>
      <c r="J58" t="inlineStr">
        <is>
          <t xml:space="preserve">National Institute on Aging</t>
        </is>
      </c>
      <c r="K58" t="inlineStr">
        <is>
          <t xml:space="preserve">2026</t>
        </is>
      </c>
      <c r="L58" t="inlineStr">
        <is>
          <t xml:space="preserve">1426599</t>
        </is>
      </c>
      <c r="M58" t="inlineStr">
        <is>
          <t xml:space="preserve">2026-09-15</t>
        </is>
      </c>
      <c r="N58" t="inlineStr">
        <is>
          <t xml:space="preserve">2031-08-31</t>
        </is>
      </c>
      <c r="O58" t="inlineStr">
        <is>
          <t xml:space="preserve">Device / stimulation</t>
        </is>
      </c>
      <c r="P58" s="3" t="str">
        <f>HYPERLINK("https://reporter.nih.gov/project-details/11291023","https://reporter.nih.gov/project-details/11291023")</f>
        <v>https://reporter.nih.gov/project-details/11291023</v>
      </c>
    </row>
    <row r="59">
      <c r="A59" t="inlineStr">
        <is>
          <t xml:space="preserve">2026-09-10</t>
        </is>
      </c>
      <c r="B59" t="inlineStr">
        <is>
          <t xml:space="preserve">3R01NS126654-04S1</t>
        </is>
      </c>
      <c r="C59" t="inlineStr">
        <is>
          <t xml:space="preserve">Generating functional diversity from molecular homogeneity at glutamatergic synapses</t>
        </is>
      </c>
      <c r="D59" t="inlineStr">
        <is>
          <t xml:space="preserve">DION KAI DICKMAN</t>
        </is>
      </c>
      <c r="E59" t="inlineStr">
        <is>
          <t xml:space="preserve">DION KAI DICKMAN</t>
        </is>
      </c>
      <c r="F59" t="inlineStr">
        <is>
          <t xml:space="preserve">UNIVERSITY OF SOUTHERN CALIFORNIA</t>
        </is>
      </c>
      <c r="G59" t="inlineStr">
        <is>
          <t xml:space="preserve">Los Angeles</t>
        </is>
      </c>
      <c r="H59" t="inlineStr">
        <is>
          <t xml:space="preserve">CA</t>
        </is>
      </c>
      <c r="I59" t="inlineStr">
        <is>
          <t xml:space="preserve">NINDS</t>
        </is>
      </c>
      <c r="J59" t="inlineStr">
        <is>
          <t xml:space="preserve">National Institute of Neurological Disorders and Stroke</t>
        </is>
      </c>
      <c r="K59" t="inlineStr">
        <is>
          <t xml:space="preserve">2026</t>
        </is>
      </c>
      <c r="L59" t="inlineStr">
        <is>
          <t xml:space="preserve">73040</t>
        </is>
      </c>
      <c r="M59" t="inlineStr">
        <is>
          <t xml:space="preserve">2022-12-01</t>
        </is>
      </c>
      <c r="N59" t="inlineStr">
        <is>
          <t xml:space="preserve">2027-11-30</t>
        </is>
      </c>
      <c r="O59" t="inlineStr">
        <is>
          <t xml:space="preserve">Gene therapy</t>
        </is>
      </c>
      <c r="P59" s="3" t="str">
        <f>HYPERLINK("https://reporter.nih.gov/project-details/11617112","https://reporter.nih.gov/project-details/11617112")</f>
        <v>https://reporter.nih.gov/project-details/11617112</v>
      </c>
    </row>
    <row r="60">
      <c r="A60" t="inlineStr">
        <is>
          <t xml:space="preserve">2026-09-10</t>
        </is>
      </c>
      <c r="B60" t="inlineStr">
        <is>
          <t xml:space="preserve">1R01HD121553-01</t>
        </is>
      </c>
      <c r="C60" t="inlineStr">
        <is>
          <t xml:space="preserve">Origins of Basic Reasoning in the Developing Brain: Interdisciplinary Research</t>
        </is>
      </c>
      <c r="D60" t="inlineStr">
        <is>
          <t xml:space="preserve">Jessica F Cantlon</t>
        </is>
      </c>
      <c r="E60" t="inlineStr">
        <is>
          <t xml:space="preserve">Jessica F Cantlon</t>
        </is>
      </c>
      <c r="F60" t="inlineStr">
        <is>
          <t xml:space="preserve">CARNEGIE-MELLON UNIVERSITY</t>
        </is>
      </c>
      <c r="G60" t="inlineStr">
        <is>
          <t xml:space="preserve">PITTSBURGH</t>
        </is>
      </c>
      <c r="H60" t="inlineStr">
        <is>
          <t xml:space="preserve">PA</t>
        </is>
      </c>
      <c r="I60" t="inlineStr">
        <is>
          <t xml:space="preserve">NICHD</t>
        </is>
      </c>
      <c r="J60" t="inlineStr">
        <is>
          <t xml:space="preserve">Eunice Kennedy Shriver National Institute of Child Health and Human Development</t>
        </is>
      </c>
      <c r="K60" t="inlineStr">
        <is>
          <t xml:space="preserve">2026</t>
        </is>
      </c>
      <c r="L60" t="inlineStr">
        <is>
          <t xml:space="preserve">339574</t>
        </is>
      </c>
      <c r="M60" t="inlineStr">
        <is>
          <t xml:space="preserve">2026-09-01</t>
        </is>
      </c>
      <c r="N60" t="inlineStr">
        <is>
          <t xml:space="preserve">2031-08-31</t>
        </is>
      </c>
      <c r="O60" t="inlineStr">
        <is>
          <t xml:space="preserve"/>
        </is>
      </c>
      <c r="P60" s="3" t="str">
        <f>HYPERLINK("https://reporter.nih.gov/project-details/11339992","https://reporter.nih.gov/project-details/11339992")</f>
        <v>https://reporter.nih.gov/project-details/11339992</v>
      </c>
    </row>
    <row r="61">
      <c r="A61" t="inlineStr">
        <is>
          <t xml:space="preserve">2026-09-10</t>
        </is>
      </c>
      <c r="B61" t="inlineStr">
        <is>
          <t xml:space="preserve">1R01HD122292-01</t>
        </is>
      </c>
      <c r="C61" t="inlineStr">
        <is>
          <t xml:space="preserve">Fetal Brain MRI as a Predictor of Early Neurodevelopmental Outcome in Pre-gestational and Gestational Diabetes</t>
        </is>
      </c>
      <c r="D61" t="inlineStr">
        <is>
          <t xml:space="preserve">Rupa Radhakrishnan</t>
        </is>
      </c>
      <c r="E61" t="inlineStr">
        <is>
          <t xml:space="preserve">Rupa Radhakrishnan; Christina Marie Scifres</t>
        </is>
      </c>
      <c r="F61" t="inlineStr">
        <is>
          <t xml:space="preserve">INDIANA UNIVERSITY INDIANAPOLIS</t>
        </is>
      </c>
      <c r="G61" t="inlineStr">
        <is>
          <t xml:space="preserve">INDIANAPOLIS</t>
        </is>
      </c>
      <c r="H61" t="inlineStr">
        <is>
          <t xml:space="preserve">IN</t>
        </is>
      </c>
      <c r="I61" t="inlineStr">
        <is>
          <t xml:space="preserve">NICHD</t>
        </is>
      </c>
      <c r="J61" t="inlineStr">
        <is>
          <t xml:space="preserve">Eunice Kennedy Shriver National Institute of Child Health and Human Development</t>
        </is>
      </c>
      <c r="K61" t="inlineStr">
        <is>
          <t xml:space="preserve">2026</t>
        </is>
      </c>
      <c r="L61" t="inlineStr">
        <is>
          <t xml:space="preserve">660968</t>
        </is>
      </c>
      <c r="M61" t="inlineStr">
        <is>
          <t xml:space="preserve">2026-09-08</t>
        </is>
      </c>
      <c r="N61" t="inlineStr">
        <is>
          <t xml:space="preserve">2031-07-31</t>
        </is>
      </c>
      <c r="O61" t="inlineStr">
        <is>
          <t xml:space="preserve">Small molecule</t>
        </is>
      </c>
      <c r="P61" s="3" t="str">
        <f>HYPERLINK("https://reporter.nih.gov/project-details/11359222","https://reporter.nih.gov/project-details/11359222")</f>
        <v>https://reporter.nih.gov/project-details/11359222</v>
      </c>
    </row>
    <row r="62">
      <c r="A62" t="inlineStr">
        <is>
          <t xml:space="preserve">2026-09-10</t>
        </is>
      </c>
      <c r="B62" t="inlineStr">
        <is>
          <t xml:space="preserve">1R01MH145308-01</t>
        </is>
      </c>
      <c r="C62" t="inlineStr">
        <is>
          <t xml:space="preserve">Parent-child trio study of pediatric anxiety disorders</t>
        </is>
      </c>
      <c r="D62" t="inlineStr">
        <is>
          <t xml:space="preserve">Emily Hunt Olfson</t>
        </is>
      </c>
      <c r="E62" t="inlineStr">
        <is>
          <t xml:space="preserve">Emily Hunt Olfson</t>
        </is>
      </c>
      <c r="F62" t="inlineStr">
        <is>
          <t xml:space="preserve">YALE UNIVERSITY</t>
        </is>
      </c>
      <c r="G62" t="inlineStr">
        <is>
          <t xml:space="preserve">NEW HAVEN</t>
        </is>
      </c>
      <c r="H62" t="inlineStr">
        <is>
          <t xml:space="preserve">CT</t>
        </is>
      </c>
      <c r="I62" t="inlineStr">
        <is>
          <t xml:space="preserve">NIMH</t>
        </is>
      </c>
      <c r="J62" t="inlineStr">
        <is>
          <t xml:space="preserve">National Institute of Mental Health</t>
        </is>
      </c>
      <c r="K62" t="inlineStr">
        <is>
          <t xml:space="preserve">2026</t>
        </is>
      </c>
      <c r="L62" t="inlineStr">
        <is>
          <t xml:space="preserve">830833</t>
        </is>
      </c>
      <c r="M62" t="inlineStr">
        <is>
          <t xml:space="preserve">2026-09-10</t>
        </is>
      </c>
      <c r="N62" t="inlineStr">
        <is>
          <t xml:space="preserve">2031-08-31</t>
        </is>
      </c>
      <c r="O62" t="inlineStr">
        <is>
          <t xml:space="preserve">Small molecule, Behavioral</t>
        </is>
      </c>
      <c r="P62" s="3" t="str">
        <f>HYPERLINK("https://reporter.nih.gov/project-details/11427134","https://reporter.nih.gov/project-details/11427134")</f>
        <v>https://reporter.nih.gov/project-details/11427134</v>
      </c>
    </row>
    <row r="63">
      <c r="A63" t="inlineStr">
        <is>
          <t xml:space="preserve">2026-09-10</t>
        </is>
      </c>
      <c r="B63" t="inlineStr">
        <is>
          <t xml:space="preserve">5R00GM141319-04</t>
        </is>
      </c>
      <c r="C63" t="inlineStr">
        <is>
          <t xml:space="preserve">Molecular and cellular mechanisms of circuit evolution</t>
        </is>
      </c>
      <c r="D63" t="inlineStr">
        <is>
          <t xml:space="preserve">Rory Tristan Coleman</t>
        </is>
      </c>
      <c r="E63" t="inlineStr">
        <is>
          <t xml:space="preserve">Rory Tristan Coleman</t>
        </is>
      </c>
      <c r="F63" t="inlineStr">
        <is>
          <t xml:space="preserve">NEW YORK UNIVERSITY</t>
        </is>
      </c>
      <c r="G63" t="inlineStr">
        <is>
          <t xml:space="preserve">NEW YORK</t>
        </is>
      </c>
      <c r="H63" t="inlineStr">
        <is>
          <t xml:space="preserve">NY</t>
        </is>
      </c>
      <c r="I63" t="inlineStr">
        <is>
          <t xml:space="preserve">NIGMS</t>
        </is>
      </c>
      <c r="J63" t="inlineStr">
        <is>
          <t xml:space="preserve">National Institute of General Medical Sciences</t>
        </is>
      </c>
      <c r="K63" t="inlineStr">
        <is>
          <t xml:space="preserve">2026</t>
        </is>
      </c>
      <c r="L63" t="inlineStr">
        <is>
          <t xml:space="preserve">249000</t>
        </is>
      </c>
      <c r="M63" t="inlineStr">
        <is>
          <t xml:space="preserve">2021-07-01</t>
        </is>
      </c>
      <c r="N63" t="inlineStr">
        <is>
          <t xml:space="preserve">2028-08-31</t>
        </is>
      </c>
      <c r="O63" t="inlineStr">
        <is>
          <t xml:space="preserve">Gene therapy, Nucleic acid therapeutics</t>
        </is>
      </c>
      <c r="P63" s="3" t="str">
        <f>HYPERLINK("https://reporter.nih.gov/project-details/11387848","https://reporter.nih.gov/project-details/11387848")</f>
        <v>https://reporter.nih.gov/project-details/11387848</v>
      </c>
    </row>
    <row r="64">
      <c r="A64" t="inlineStr">
        <is>
          <t xml:space="preserve">2026-09-10</t>
        </is>
      </c>
      <c r="B64" t="inlineStr">
        <is>
          <t xml:space="preserve">1R21HD121871-01</t>
        </is>
      </c>
      <c r="C64" t="inlineStr">
        <is>
          <t xml:space="preserve">High-Fidelity Nanopore Sequencing of CGG Repeats and Methylation in the FMR1 Gene</t>
        </is>
      </c>
      <c r="D64" t="inlineStr">
        <is>
          <t xml:space="preserve">Eric Ervin</t>
        </is>
      </c>
      <c r="E64" t="inlineStr">
        <is>
          <t xml:space="preserve">Eric Ervin</t>
        </is>
      </c>
      <c r="F64" t="inlineStr">
        <is>
          <t xml:space="preserve">ELECTRONIC BIOSCIENCES, INC.</t>
        </is>
      </c>
      <c r="G64" t="inlineStr">
        <is>
          <t xml:space="preserve">SAN DIEGO</t>
        </is>
      </c>
      <c r="H64" t="inlineStr">
        <is>
          <t xml:space="preserve">CA</t>
        </is>
      </c>
      <c r="I64" t="inlineStr">
        <is>
          <t xml:space="preserve">NICHD</t>
        </is>
      </c>
      <c r="J64" t="inlineStr">
        <is>
          <t xml:space="preserve">Eunice Kennedy Shriver National Institute of Child Health and Human Development</t>
        </is>
      </c>
      <c r="K64" t="inlineStr">
        <is>
          <t xml:space="preserve">2026</t>
        </is>
      </c>
      <c r="L64" t="inlineStr">
        <is>
          <t xml:space="preserve">472706</t>
        </is>
      </c>
      <c r="M64" t="inlineStr">
        <is>
          <t xml:space="preserve">2026-09-01</t>
        </is>
      </c>
      <c r="N64" t="inlineStr">
        <is>
          <t xml:space="preserve">2028-08-31</t>
        </is>
      </c>
      <c r="O64" t="inlineStr">
        <is>
          <t xml:space="preserve"/>
        </is>
      </c>
      <c r="P64" s="3" t="str">
        <f>HYPERLINK("https://reporter.nih.gov/project-details/11343472","https://reporter.nih.gov/project-details/11343472")</f>
        <v>https://reporter.nih.gov/project-details/11343472</v>
      </c>
    </row>
    <row r="65">
      <c r="A65" t="inlineStr">
        <is>
          <t xml:space="preserve">2026-09-09</t>
        </is>
      </c>
      <c r="B65" t="inlineStr">
        <is>
          <t xml:space="preserve">1R21ES039048-01</t>
        </is>
      </c>
      <c r="C65" t="inlineStr">
        <is>
          <t xml:space="preserve">Identifying PFAS-Induced Disruption of Placental Imprinting and Neurodevelopment Through Multi-Omic Negative Control Calibration</t>
        </is>
      </c>
      <c r="D65" t="inlineStr">
        <is>
          <t xml:space="preserve">Arjun Bhattacharya</t>
        </is>
      </c>
      <c r="E65" t="inlineStr">
        <is>
          <t xml:space="preserve">Arjun Bhattacharya</t>
        </is>
      </c>
      <c r="F65" t="inlineStr">
        <is>
          <t xml:space="preserve">UNIVERSITY OF TX MD ANDERSON CAN CTR</t>
        </is>
      </c>
      <c r="G65" t="inlineStr">
        <is>
          <t xml:space="preserve">HOUSTON</t>
        </is>
      </c>
      <c r="H65" t="inlineStr">
        <is>
          <t xml:space="preserve">TX</t>
        </is>
      </c>
      <c r="I65" t="inlineStr">
        <is>
          <t xml:space="preserve">NIEHS</t>
        </is>
      </c>
      <c r="J65" t="inlineStr">
        <is>
          <t xml:space="preserve">National Institute of Environmental Health Sciences</t>
        </is>
      </c>
      <c r="K65" t="inlineStr">
        <is>
          <t xml:space="preserve">2026</t>
        </is>
      </c>
      <c r="L65" t="inlineStr">
        <is>
          <t xml:space="preserve">241317</t>
        </is>
      </c>
      <c r="M65" t="inlineStr">
        <is>
          <t xml:space="preserve">2026-09-09</t>
        </is>
      </c>
      <c r="N65" t="inlineStr">
        <is>
          <t xml:space="preserve">2028-08-31</t>
        </is>
      </c>
      <c r="O65" t="inlineStr">
        <is>
          <t xml:space="preserve"/>
        </is>
      </c>
      <c r="P65" s="3" t="str">
        <f>HYPERLINK("https://reporter.nih.gov/project-details/11437481","https://reporter.nih.gov/project-details/11437481")</f>
        <v>https://reporter.nih.gov/project-details/11437481</v>
      </c>
    </row>
    <row r="66">
      <c r="A66" t="inlineStr">
        <is>
          <t xml:space="preserve">2026-09-09</t>
        </is>
      </c>
      <c r="B66" t="inlineStr">
        <is>
          <t xml:space="preserve">2R15AT008742-05A1</t>
        </is>
      </c>
      <c r="C66" t="inlineStr">
        <is>
          <t xml:space="preserve">Metabolic therapy to modulate aggression and sociability</t>
        </is>
      </c>
      <c r="D66" t="inlineStr">
        <is>
          <t xml:space="preserve">David Nathaniel Ruskin</t>
        </is>
      </c>
      <c r="E66" t="inlineStr">
        <is>
          <t xml:space="preserve">David Nathaniel Ruskin</t>
        </is>
      </c>
      <c r="F66" t="inlineStr">
        <is>
          <t xml:space="preserve">TRINITY COLLEGE</t>
        </is>
      </c>
      <c r="G66" t="inlineStr">
        <is>
          <t xml:space="preserve">HARTFORD</t>
        </is>
      </c>
      <c r="H66" t="inlineStr">
        <is>
          <t xml:space="preserve">CT</t>
        </is>
      </c>
      <c r="I66" t="inlineStr">
        <is>
          <t xml:space="preserve">NCCIH</t>
        </is>
      </c>
      <c r="J66" t="inlineStr">
        <is>
          <t xml:space="preserve">National Center for Complementary and Integrative Health</t>
        </is>
      </c>
      <c r="K66" t="inlineStr">
        <is>
          <t xml:space="preserve">2026</t>
        </is>
      </c>
      <c r="L66" t="inlineStr">
        <is>
          <t xml:space="preserve">576722</t>
        </is>
      </c>
      <c r="M66" t="inlineStr">
        <is>
          <t xml:space="preserve">2015-03-01</t>
        </is>
      </c>
      <c r="N66" t="inlineStr">
        <is>
          <t xml:space="preserve">2029-08-31</t>
        </is>
      </c>
      <c r="O66" t="inlineStr">
        <is>
          <t xml:space="preserve">Small molecule</t>
        </is>
      </c>
      <c r="P66" s="3" t="str">
        <f>HYPERLINK("https://reporter.nih.gov/project-details/11444976","https://reporter.nih.gov/project-details/11444976")</f>
        <v>https://reporter.nih.gov/project-details/11444976</v>
      </c>
    </row>
    <row r="67">
      <c r="A67" t="inlineStr">
        <is>
          <t xml:space="preserve">2026-09-09</t>
        </is>
      </c>
      <c r="B67" t="inlineStr">
        <is>
          <t xml:space="preserve">1R01MH138439-01A1</t>
        </is>
      </c>
      <c r="C67" t="inlineStr">
        <is>
          <t xml:space="preserve">Striatal Regulation of Prefrontal Cortical Circuit Maturation:  Mechanisms and Implications for ASD</t>
        </is>
      </c>
      <c r="D67" t="inlineStr">
        <is>
          <t xml:space="preserve">Rui Peixoto</t>
        </is>
      </c>
      <c r="E67" t="inlineStr">
        <is>
          <t xml:space="preserve">Rui Peixoto</t>
        </is>
      </c>
      <c r="F67" t="inlineStr">
        <is>
          <t xml:space="preserve">UNIVERSITY OF PITTSBURGH AT PITTSBURGH</t>
        </is>
      </c>
      <c r="G67" t="inlineStr">
        <is>
          <t xml:space="preserve">PITTSBURGH</t>
        </is>
      </c>
      <c r="H67" t="inlineStr">
        <is>
          <t xml:space="preserve">PA</t>
        </is>
      </c>
      <c r="I67" t="inlineStr">
        <is>
          <t xml:space="preserve">NIMH</t>
        </is>
      </c>
      <c r="J67" t="inlineStr">
        <is>
          <t xml:space="preserve">National Institute of Mental Health</t>
        </is>
      </c>
      <c r="K67" t="inlineStr">
        <is>
          <t xml:space="preserve">2026</t>
        </is>
      </c>
      <c r="L67" t="inlineStr">
        <is>
          <t xml:space="preserve">673382</t>
        </is>
      </c>
      <c r="M67" t="inlineStr">
        <is>
          <t xml:space="preserve">2026-09-07</t>
        </is>
      </c>
      <c r="N67" t="inlineStr">
        <is>
          <t xml:space="preserve">2031-06-30</t>
        </is>
      </c>
      <c r="O67" t="inlineStr">
        <is>
          <t xml:space="preserve"/>
        </is>
      </c>
      <c r="P67" s="3" t="str">
        <f>HYPERLINK("https://reporter.nih.gov/project-details/11366052","https://reporter.nih.gov/project-details/11366052")</f>
        <v>https://reporter.nih.gov/project-details/11366052</v>
      </c>
    </row>
    <row r="68">
      <c r="A68" t="inlineStr">
        <is>
          <t xml:space="preserve">2026-09-08</t>
        </is>
      </c>
      <c r="B68" t="inlineStr">
        <is>
          <t xml:space="preserve">1R01AG097760-01A1</t>
        </is>
      </c>
      <c r="C68" t="inlineStr">
        <is>
          <t xml:space="preserve">Cell-specific functional impact of tandem repeat length variation in serious mental and neurological disorders</t>
        </is>
      </c>
      <c r="D68" t="inlineStr">
        <is>
          <t xml:space="preserve">Kiran Girdhar</t>
        </is>
      </c>
      <c r="E68" t="inlineStr">
        <is>
          <t xml:space="preserve">Kiran Girdhar</t>
        </is>
      </c>
      <c r="F68" t="inlineStr">
        <is>
          <t xml:space="preserve">ICAHN SCHOOL OF MEDICINE AT MOUNT SINAI</t>
        </is>
      </c>
      <c r="G68" t="inlineStr">
        <is>
          <t xml:space="preserve">NEW YORK</t>
        </is>
      </c>
      <c r="H68" t="inlineStr">
        <is>
          <t xml:space="preserve">NY</t>
        </is>
      </c>
      <c r="I68" t="inlineStr">
        <is>
          <t xml:space="preserve">NIA</t>
        </is>
      </c>
      <c r="J68" t="inlineStr">
        <is>
          <t xml:space="preserve">National Institute on Aging</t>
        </is>
      </c>
      <c r="K68" t="inlineStr">
        <is>
          <t xml:space="preserve">2026</t>
        </is>
      </c>
      <c r="L68" t="inlineStr">
        <is>
          <t xml:space="preserve">794853</t>
        </is>
      </c>
      <c r="M68" t="inlineStr">
        <is>
          <t xml:space="preserve">2026-09-15</t>
        </is>
      </c>
      <c r="N68" t="inlineStr">
        <is>
          <t xml:space="preserve">2031-07-31</t>
        </is>
      </c>
      <c r="O68" t="inlineStr">
        <is>
          <t xml:space="preserve"/>
        </is>
      </c>
      <c r="P68" s="3" t="str">
        <f>HYPERLINK("https://reporter.nih.gov/project-details/11450104","https://reporter.nih.gov/project-details/11450104")</f>
        <v>https://reporter.nih.gov/project-details/11450104</v>
      </c>
    </row>
    <row r="69">
      <c r="A69" t="inlineStr">
        <is>
          <t xml:space="preserve">2026-09-08</t>
        </is>
      </c>
      <c r="B69" t="inlineStr">
        <is>
          <t xml:space="preserve">1R01MH142446-01A1</t>
        </is>
      </c>
      <c r="C69" t="inlineStr">
        <is>
          <t xml:space="preserve">Dissecting the role of astrocytes in affiliative social behavior</t>
        </is>
      </c>
      <c r="D69" t="inlineStr">
        <is>
          <t xml:space="preserve">Weizhe Hong</t>
        </is>
      </c>
      <c r="E69" t="inlineStr">
        <is>
          <t xml:space="preserve">Weizhe Hong; Xinzhu Yu</t>
        </is>
      </c>
      <c r="F69" t="inlineStr">
        <is>
          <t xml:space="preserve">UNIVERSITY OF CALIFORNIA LOS ANGELES</t>
        </is>
      </c>
      <c r="G69" t="inlineStr">
        <is>
          <t xml:space="preserve">LOS ANGELES</t>
        </is>
      </c>
      <c r="H69" t="inlineStr">
        <is>
          <t xml:space="preserve">CA</t>
        </is>
      </c>
      <c r="I69" t="inlineStr">
        <is>
          <t xml:space="preserve">NIMH</t>
        </is>
      </c>
      <c r="J69" t="inlineStr">
        <is>
          <t xml:space="preserve">National Institute of Mental Health</t>
        </is>
      </c>
      <c r="K69" t="inlineStr">
        <is>
          <t xml:space="preserve">2026</t>
        </is>
      </c>
      <c r="L69" t="inlineStr">
        <is>
          <t xml:space="preserve">782853</t>
        </is>
      </c>
      <c r="M69" t="inlineStr">
        <is>
          <t xml:space="preserve">2026-09-07</t>
        </is>
      </c>
      <c r="N69" t="inlineStr">
        <is>
          <t xml:space="preserve">2031-06-30</t>
        </is>
      </c>
      <c r="O69" t="inlineStr">
        <is>
          <t xml:space="preserve">Gene therapy, Device / stimulation</t>
        </is>
      </c>
      <c r="P69" s="3" t="str">
        <f>HYPERLINK("https://reporter.nih.gov/project-details/11387047","https://reporter.nih.gov/project-details/11387047")</f>
        <v>https://reporter.nih.gov/project-details/11387047</v>
      </c>
    </row>
    <row r="70">
      <c r="A70" t="inlineStr">
        <is>
          <t xml:space="preserve">2026-09-08</t>
        </is>
      </c>
      <c r="B70" t="inlineStr">
        <is>
          <t xml:space="preserve">1R01MH143797-01</t>
        </is>
      </c>
      <c r="C70" t="inlineStr">
        <is>
          <t xml:space="preserve">Infant Visual Brain Development in Autism</t>
        </is>
      </c>
      <c r="D70" t="inlineStr">
        <is>
          <t xml:space="preserve">Jessica Bullins Girault</t>
        </is>
      </c>
      <c r="E70" t="inlineStr">
        <is>
          <t xml:space="preserve">Jessica Bullins Girault</t>
        </is>
      </c>
      <c r="F70" t="inlineStr">
        <is>
          <t xml:space="preserve">UNIV OF NORTH CAROLINA CHAPEL HILL</t>
        </is>
      </c>
      <c r="G70" t="inlineStr">
        <is>
          <t xml:space="preserve">CHAPEL HILL</t>
        </is>
      </c>
      <c r="H70" t="inlineStr">
        <is>
          <t xml:space="preserve">NC</t>
        </is>
      </c>
      <c r="I70" t="inlineStr">
        <is>
          <t xml:space="preserve">NIMH</t>
        </is>
      </c>
      <c r="J70" t="inlineStr">
        <is>
          <t xml:space="preserve">National Institute of Mental Health</t>
        </is>
      </c>
      <c r="K70" t="inlineStr">
        <is>
          <t xml:space="preserve">2026</t>
        </is>
      </c>
      <c r="L70" t="inlineStr">
        <is>
          <t xml:space="preserve">2238152</t>
        </is>
      </c>
      <c r="M70" t="inlineStr">
        <is>
          <t xml:space="preserve">2026-09-05</t>
        </is>
      </c>
      <c r="N70" t="inlineStr">
        <is>
          <t xml:space="preserve">2029-09-04</t>
        </is>
      </c>
      <c r="O70" t="inlineStr">
        <is>
          <t xml:space="preserve">Behavioral</t>
        </is>
      </c>
      <c r="P70" s="3" t="str">
        <f>HYPERLINK("https://reporter.nih.gov/project-details/11340121","https://reporter.nih.gov/project-details/11340121")</f>
        <v>https://reporter.nih.gov/project-details/11340121</v>
      </c>
    </row>
    <row r="71">
      <c r="A71" t="inlineStr">
        <is>
          <t xml:space="preserve">2026-09-08</t>
        </is>
      </c>
      <c r="B71" t="inlineStr">
        <is>
          <t xml:space="preserve">5K23MH135224-03</t>
        </is>
      </c>
      <c r="C71" t="inlineStr">
        <is>
          <t xml:space="preserve">Electrophysiological biomarkers of social engagement in autism</t>
        </is>
      </c>
      <c r="D71" t="inlineStr">
        <is>
          <t xml:space="preserve">Alexandra Lyndon Bey</t>
        </is>
      </c>
      <c r="E71" t="inlineStr">
        <is>
          <t xml:space="preserve">Alexandra Lyndon Bey</t>
        </is>
      </c>
      <c r="F71" t="inlineStr">
        <is>
          <t xml:space="preserve">DUKE UNIVERSITY</t>
        </is>
      </c>
      <c r="G71" t="inlineStr">
        <is>
          <t xml:space="preserve">DURHAM</t>
        </is>
      </c>
      <c r="H71" t="inlineStr">
        <is>
          <t xml:space="preserve">NC</t>
        </is>
      </c>
      <c r="I71" t="inlineStr">
        <is>
          <t xml:space="preserve">NIMH</t>
        </is>
      </c>
      <c r="J71" t="inlineStr">
        <is>
          <t xml:space="preserve">National Institute of Mental Health</t>
        </is>
      </c>
      <c r="K71" t="inlineStr">
        <is>
          <t xml:space="preserve">2026</t>
        </is>
      </c>
      <c r="L71" t="inlineStr">
        <is>
          <t xml:space="preserve">178092</t>
        </is>
      </c>
      <c r="M71" t="inlineStr">
        <is>
          <t xml:space="preserve">2024-09-01</t>
        </is>
      </c>
      <c r="N71" t="inlineStr">
        <is>
          <t xml:space="preserve">2028-08-31</t>
        </is>
      </c>
      <c r="O71" t="inlineStr">
        <is>
          <t xml:space="preserve">Behavioral</t>
        </is>
      </c>
      <c r="P71" s="3" t="str">
        <f>HYPERLINK("https://reporter.nih.gov/project-details/11401753","https://reporter.nih.gov/project-details/11401753")</f>
        <v>https://reporter.nih.gov/project-details/11401753</v>
      </c>
    </row>
    <row r="72">
      <c r="A72" t="inlineStr">
        <is>
          <t xml:space="preserve">2026-09-08</t>
        </is>
      </c>
      <c r="B72" t="inlineStr">
        <is>
          <t xml:space="preserve">5P50HD118708-02</t>
        </is>
      </c>
      <c r="C72" t="inlineStr">
        <is>
          <t xml:space="preserve">Translation of the FMR1 Premutation Phenotypes Across the Lifespan</t>
        </is>
      </c>
      <c r="D72" t="inlineStr">
        <is>
          <t xml:space="preserve">Jane E Roberts</t>
        </is>
      </c>
      <c r="E72" t="inlineStr">
        <is>
          <t xml:space="preserve">Jane E Roberts</t>
        </is>
      </c>
      <c r="F72" t="inlineStr">
        <is>
          <t xml:space="preserve">UNIVERSITY OF SOUTH CAROLINA AT COLUMBIA</t>
        </is>
      </c>
      <c r="G72" t="inlineStr">
        <is>
          <t xml:space="preserve">COLUMBIA</t>
        </is>
      </c>
      <c r="H72" t="inlineStr">
        <is>
          <t xml:space="preserve">SC</t>
        </is>
      </c>
      <c r="I72" t="inlineStr">
        <is>
          <t xml:space="preserve">NICHD</t>
        </is>
      </c>
      <c r="J72" t="inlineStr">
        <is>
          <t xml:space="preserve">Eunice Kennedy Shriver National Institute of Child Health and Human Development</t>
        </is>
      </c>
      <c r="K72" t="inlineStr">
        <is>
          <t xml:space="preserve">2026</t>
        </is>
      </c>
      <c r="L72" t="inlineStr">
        <is>
          <t xml:space="preserve">1272876</t>
        </is>
      </c>
      <c r="M72" t="inlineStr">
        <is>
          <t xml:space="preserve">2025-09-10</t>
        </is>
      </c>
      <c r="N72" t="inlineStr">
        <is>
          <t xml:space="preserve">2030-08-31</t>
        </is>
      </c>
      <c r="O72" t="inlineStr">
        <is>
          <t xml:space="preserve"/>
        </is>
      </c>
      <c r="P72" s="3" t="str">
        <f>HYPERLINK("https://reporter.nih.gov/project-details/11416721","https://reporter.nih.gov/project-details/11416721")</f>
        <v>https://reporter.nih.gov/project-details/11416721</v>
      </c>
    </row>
    <row r="73">
      <c r="A73" t="inlineStr">
        <is>
          <t xml:space="preserve">2026-09-08</t>
        </is>
      </c>
      <c r="B73" t="inlineStr">
        <is>
          <t xml:space="preserve">5R01GM152812-04</t>
        </is>
      </c>
      <c r="C73" t="inlineStr">
        <is>
          <t xml:space="preserve">Collaborative Research: DMS/NIGMS 2: New statistical methods, theory, and software for microbiome data</t>
        </is>
      </c>
      <c r="D73" t="inlineStr">
        <is>
          <t xml:space="preserve">Lingzhou Xue</t>
        </is>
      </c>
      <c r="E73" t="inlineStr">
        <is>
          <t xml:space="preserve">Lingzhou Xue; Xiufan Yu</t>
        </is>
      </c>
      <c r="F73" t="inlineStr">
        <is>
          <t xml:space="preserve">PENNSYLVANIA STATE UNIVERSITY, THE</t>
        </is>
      </c>
      <c r="G73" t="inlineStr">
        <is>
          <t xml:space="preserve">UNIVERSITY PARK</t>
        </is>
      </c>
      <c r="H73" t="inlineStr">
        <is>
          <t xml:space="preserve">PA</t>
        </is>
      </c>
      <c r="I73" t="inlineStr">
        <is>
          <t xml:space="preserve">NIGMS</t>
        </is>
      </c>
      <c r="J73" t="inlineStr">
        <is>
          <t xml:space="preserve">National Institute of General Medical Sciences</t>
        </is>
      </c>
      <c r="K73" t="inlineStr">
        <is>
          <t xml:space="preserve">2026</t>
        </is>
      </c>
      <c r="L73" t="inlineStr">
        <is>
          <t xml:space="preserve">241130</t>
        </is>
      </c>
      <c r="M73" t="inlineStr">
        <is>
          <t xml:space="preserve">2023-09-05</t>
        </is>
      </c>
      <c r="N73" t="inlineStr">
        <is>
          <t xml:space="preserve">2027-08-31</t>
        </is>
      </c>
      <c r="O73" t="inlineStr">
        <is>
          <t xml:space="preserve"/>
        </is>
      </c>
      <c r="P73" s="3" t="str">
        <f>HYPERLINK("https://reporter.nih.gov/project-details/11401166","https://reporter.nih.gov/project-details/11401166")</f>
        <v>https://reporter.nih.gov/project-details/11401166</v>
      </c>
    </row>
    <row r="74">
      <c r="A74" t="inlineStr">
        <is>
          <t xml:space="preserve">2026-09-08</t>
        </is>
      </c>
      <c r="B74" t="inlineStr">
        <is>
          <t xml:space="preserve">5P50HD109879-05</t>
        </is>
      </c>
      <c r="C74" t="inlineStr">
        <is>
          <t xml:space="preserve">Prospective Genetic Risk Evaluation and Assessment (PROGRESS) in Autism</t>
        </is>
      </c>
      <c r="D74" t="inlineStr">
        <is>
          <t xml:space="preserve">Jeremy Veenstra-VanderWeele</t>
        </is>
      </c>
      <c r="E74" t="inlineStr">
        <is>
          <t xml:space="preserve">Wendy K Chung; Jeremy Veenstra-VanderWeele</t>
        </is>
      </c>
      <c r="F74" t="inlineStr">
        <is>
          <t xml:space="preserve">COLUMBIA UNIVERSITY HEALTH SCIENCES</t>
        </is>
      </c>
      <c r="G74" t="inlineStr">
        <is>
          <t xml:space="preserve">NEW YORK</t>
        </is>
      </c>
      <c r="H74" t="inlineStr">
        <is>
          <t xml:space="preserve">NY</t>
        </is>
      </c>
      <c r="I74" t="inlineStr">
        <is>
          <t xml:space="preserve">NICHD</t>
        </is>
      </c>
      <c r="J74" t="inlineStr">
        <is>
          <t xml:space="preserve">Eunice Kennedy Shriver National Institute of Child Health and Human Development</t>
        </is>
      </c>
      <c r="K74" t="inlineStr">
        <is>
          <t xml:space="preserve">2026</t>
        </is>
      </c>
      <c r="L74" t="inlineStr">
        <is>
          <t xml:space="preserve">2274140</t>
        </is>
      </c>
      <c r="M74" t="inlineStr">
        <is>
          <t xml:space="preserve">2022-09-06</t>
        </is>
      </c>
      <c r="N74" t="inlineStr">
        <is>
          <t xml:space="preserve">2027-08-31</t>
        </is>
      </c>
      <c r="O74" t="inlineStr">
        <is>
          <t xml:space="preserve">Behavioral</t>
        </is>
      </c>
      <c r="P74" s="3" t="str">
        <f>HYPERLINK("https://reporter.nih.gov/project-details/11413709","https://reporter.nih.gov/project-details/11413709")</f>
        <v>https://reporter.nih.gov/project-details/11413709</v>
      </c>
    </row>
    <row r="75">
      <c r="A75" t="inlineStr">
        <is>
          <t xml:space="preserve">2026-09-08</t>
        </is>
      </c>
      <c r="B75" t="inlineStr">
        <is>
          <t xml:space="preserve">5K23HD118256-02</t>
        </is>
      </c>
      <c r="C75" t="inlineStr">
        <is>
          <t xml:space="preserve">Physical Activity in Youth on the Autism Spectrum</t>
        </is>
      </c>
      <c r="D75" t="inlineStr">
        <is>
          <t xml:space="preserve">Yu-Lun Chen</t>
        </is>
      </c>
      <c r="E75" t="inlineStr">
        <is>
          <t xml:space="preserve">Yu-Lun Chen</t>
        </is>
      </c>
      <c r="F75" t="inlineStr">
        <is>
          <t xml:space="preserve">KESSLER FOUNDATION, INC.</t>
        </is>
      </c>
      <c r="G75" t="inlineStr">
        <is>
          <t xml:space="preserve">East Hanover</t>
        </is>
      </c>
      <c r="H75" t="inlineStr">
        <is>
          <t xml:space="preserve">NJ</t>
        </is>
      </c>
      <c r="I75" t="inlineStr">
        <is>
          <t xml:space="preserve">NICHD</t>
        </is>
      </c>
      <c r="J75" t="inlineStr">
        <is>
          <t xml:space="preserve">Eunice Kennedy Shriver National Institute of Child Health and Human Development</t>
        </is>
      </c>
      <c r="K75" t="inlineStr">
        <is>
          <t xml:space="preserve">2026</t>
        </is>
      </c>
      <c r="L75" t="inlineStr">
        <is>
          <t xml:space="preserve">163904</t>
        </is>
      </c>
      <c r="M75" t="inlineStr">
        <is>
          <t xml:space="preserve">2025-08-07</t>
        </is>
      </c>
      <c r="N75" t="inlineStr">
        <is>
          <t xml:space="preserve">2030-07-31</t>
        </is>
      </c>
      <c r="O75" t="inlineStr">
        <is>
          <t xml:space="preserve">Device / stimulation, Behavioral</t>
        </is>
      </c>
      <c r="P75" s="3" t="str">
        <f>HYPERLINK("https://reporter.nih.gov/project-details/11477242","https://reporter.nih.gov/project-details/11477242")</f>
        <v>https://reporter.nih.gov/project-details/11477242</v>
      </c>
    </row>
    <row r="76">
      <c r="A76" t="inlineStr">
        <is>
          <t xml:space="preserve">2026-09-08</t>
        </is>
      </c>
      <c r="B76" t="inlineStr">
        <is>
          <t xml:space="preserve">2R01NS112706-06A1</t>
        </is>
      </c>
      <c r="C76" t="inlineStr">
        <is>
          <t xml:space="preserve">Mitochondrial control of protein translation in Fragile X</t>
        </is>
      </c>
      <c r="D76" t="inlineStr">
        <is>
          <t xml:space="preserve">Elizabeth Ann Jonas</t>
        </is>
      </c>
      <c r="E76" t="inlineStr">
        <is>
          <t xml:space="preserve">Elizabeth Ann Jonas; Pawel Licznerski</t>
        </is>
      </c>
      <c r="F76" t="inlineStr">
        <is>
          <t xml:space="preserve">YALE UNIVERSITY</t>
        </is>
      </c>
      <c r="G76" t="inlineStr">
        <is>
          <t xml:space="preserve">NEW HAVEN</t>
        </is>
      </c>
      <c r="H76" t="inlineStr">
        <is>
          <t xml:space="preserve">CT</t>
        </is>
      </c>
      <c r="I76" t="inlineStr">
        <is>
          <t xml:space="preserve">NINDS</t>
        </is>
      </c>
      <c r="J76" t="inlineStr">
        <is>
          <t xml:space="preserve">National Institute of Neurological Disorders and Stroke</t>
        </is>
      </c>
      <c r="K76" t="inlineStr">
        <is>
          <t xml:space="preserve">2026</t>
        </is>
      </c>
      <c r="L76" t="inlineStr">
        <is>
          <t xml:space="preserve">563881</t>
        </is>
      </c>
      <c r="M76" t="inlineStr">
        <is>
          <t xml:space="preserve">2019-06-01</t>
        </is>
      </c>
      <c r="N76" t="inlineStr">
        <is>
          <t xml:space="preserve">2031-05-31</t>
        </is>
      </c>
      <c r="O76" t="inlineStr">
        <is>
          <t xml:space="preserve">Viral vector, Peptide</t>
        </is>
      </c>
      <c r="P76" s="3" t="str">
        <f>HYPERLINK("https://reporter.nih.gov/project-details/11366350","https://reporter.nih.gov/project-details/11366350")</f>
        <v>https://reporter.nih.gov/project-details/11366350</v>
      </c>
    </row>
    <row r="77">
      <c r="A77" t="inlineStr">
        <is>
          <t xml:space="preserve">2026-09-08</t>
        </is>
      </c>
      <c r="B77" t="inlineStr">
        <is>
          <t xml:space="preserve">5K01MH135160-03</t>
        </is>
      </c>
      <c r="C77" t="inlineStr">
        <is>
          <t xml:space="preserve">Neural Substrates of Autism and ADHD: Reward Circuitry Connectivity and Individual Differences</t>
        </is>
      </c>
      <c r="D77" t="inlineStr">
        <is>
          <t xml:space="preserve">Katherine E Lawrence</t>
        </is>
      </c>
      <c r="E77" t="inlineStr">
        <is>
          <t xml:space="preserve">Katherine E Lawrence</t>
        </is>
      </c>
      <c r="F77" t="inlineStr">
        <is>
          <t xml:space="preserve">UNIVERSITY OF SOUTHERN CALIFORNIA</t>
        </is>
      </c>
      <c r="G77" t="inlineStr">
        <is>
          <t xml:space="preserve">Los Angeles</t>
        </is>
      </c>
      <c r="H77" t="inlineStr">
        <is>
          <t xml:space="preserve">CA</t>
        </is>
      </c>
      <c r="I77" t="inlineStr">
        <is>
          <t xml:space="preserve">NIMH</t>
        </is>
      </c>
      <c r="J77" t="inlineStr">
        <is>
          <t xml:space="preserve">National Institute of Mental Health</t>
        </is>
      </c>
      <c r="K77" t="inlineStr">
        <is>
          <t xml:space="preserve">2026</t>
        </is>
      </c>
      <c r="L77" t="inlineStr">
        <is>
          <t xml:space="preserve">183854</t>
        </is>
      </c>
      <c r="M77" t="inlineStr">
        <is>
          <t xml:space="preserve">2024-09-03</t>
        </is>
      </c>
      <c r="N77" t="inlineStr">
        <is>
          <t xml:space="preserve">2029-08-31</t>
        </is>
      </c>
      <c r="O77" t="inlineStr">
        <is>
          <t xml:space="preserve">Small molecule</t>
        </is>
      </c>
      <c r="P77" s="3" t="str">
        <f>HYPERLINK("https://reporter.nih.gov/project-details/11411333","https://reporter.nih.gov/project-details/11411333")</f>
        <v>https://reporter.nih.gov/project-details/11411333</v>
      </c>
    </row>
    <row r="78">
      <c r="A78" t="inlineStr">
        <is>
          <t xml:space="preserve">2026-09-08</t>
        </is>
      </c>
      <c r="B78" t="inlineStr">
        <is>
          <t xml:space="preserve">5P50HD118707-02</t>
        </is>
      </c>
      <c r="C78" t="inlineStr">
        <is>
          <t xml:space="preserve">Fragile X Premutations, Mechanisms and Modifiers</t>
        </is>
      </c>
      <c r="D78" t="inlineStr">
        <is>
          <t xml:space="preserve">Peter K Todd</t>
        </is>
      </c>
      <c r="E78" t="inlineStr">
        <is>
          <t xml:space="preserve">David Loren Nelson; Peter K Todd</t>
        </is>
      </c>
      <c r="F78" t="inlineStr">
        <is>
          <t xml:space="preserve">UNIVERSITY OF MICHIGAN AT ANN ARBOR</t>
        </is>
      </c>
      <c r="G78" t="inlineStr">
        <is>
          <t xml:space="preserve">ANN ARBOR</t>
        </is>
      </c>
      <c r="H78" t="inlineStr">
        <is>
          <t xml:space="preserve">MI</t>
        </is>
      </c>
      <c r="I78" t="inlineStr">
        <is>
          <t xml:space="preserve">NICHD</t>
        </is>
      </c>
      <c r="J78" t="inlineStr">
        <is>
          <t xml:space="preserve">Eunice Kennedy Shriver National Institute of Child Health and Human Development</t>
        </is>
      </c>
      <c r="K78" t="inlineStr">
        <is>
          <t xml:space="preserve">2026</t>
        </is>
      </c>
      <c r="L78" t="inlineStr">
        <is>
          <t xml:space="preserve">1575127</t>
        </is>
      </c>
      <c r="M78" t="inlineStr">
        <is>
          <t xml:space="preserve">2025-09-11</t>
        </is>
      </c>
      <c r="N78" t="inlineStr">
        <is>
          <t xml:space="preserve">2030-08-31</t>
        </is>
      </c>
      <c r="O78" t="inlineStr">
        <is>
          <t xml:space="preserve">Nucleic acid therapeutics</t>
        </is>
      </c>
      <c r="P78" s="3" t="str">
        <f>HYPERLINK("https://reporter.nih.gov/project-details/11415007","https://reporter.nih.gov/project-details/11415007")</f>
        <v>https://reporter.nih.gov/project-details/11415007</v>
      </c>
    </row>
    <row r="79">
      <c r="A79" t="inlineStr">
        <is>
          <t xml:space="preserve">2026-09-08</t>
        </is>
      </c>
      <c r="B79" t="inlineStr">
        <is>
          <t xml:space="preserve">1K23MH145975-01</t>
        </is>
      </c>
      <c r="C79" t="inlineStr">
        <is>
          <t xml:space="preserve">Optimizing parent-mediated early interventions for supportingautistic children’s social communication development</t>
        </is>
      </c>
      <c r="D79" t="inlineStr">
        <is>
          <t xml:space="preserve">Kyle Michele Frost</t>
        </is>
      </c>
      <c r="E79" t="inlineStr">
        <is>
          <t xml:space="preserve">Kyle Michele Frost</t>
        </is>
      </c>
      <c r="F79" t="inlineStr">
        <is>
          <t xml:space="preserve">UNIV OF MASSACHUSETTS MED SCH WORCESTER</t>
        </is>
      </c>
      <c r="G79" t="inlineStr">
        <is>
          <t xml:space="preserve">WORCESTER</t>
        </is>
      </c>
      <c r="H79" t="inlineStr">
        <is>
          <t xml:space="preserve">MA</t>
        </is>
      </c>
      <c r="I79" t="inlineStr">
        <is>
          <t xml:space="preserve">NIMH</t>
        </is>
      </c>
      <c r="J79" t="inlineStr">
        <is>
          <t xml:space="preserve">National Institute of Mental Health</t>
        </is>
      </c>
      <c r="K79" t="inlineStr">
        <is>
          <t xml:space="preserve">2026</t>
        </is>
      </c>
      <c r="L79" t="inlineStr">
        <is>
          <t xml:space="preserve">154241</t>
        </is>
      </c>
      <c r="M79" t="inlineStr">
        <is>
          <t xml:space="preserve">2026-09-07</t>
        </is>
      </c>
      <c r="N79" t="inlineStr">
        <is>
          <t xml:space="preserve">2031-09-06</t>
        </is>
      </c>
      <c r="O79" t="inlineStr">
        <is>
          <t xml:space="preserve">Behavioral</t>
        </is>
      </c>
      <c r="P79" s="3" t="str">
        <f>HYPERLINK("https://reporter.nih.gov/project-details/11437906","https://reporter.nih.gov/project-details/11437906")</f>
        <v>https://reporter.nih.gov/project-details/11437906</v>
      </c>
    </row>
    <row r="80">
      <c r="A80" t="inlineStr">
        <is>
          <t xml:space="preserve">2026-09-08</t>
        </is>
      </c>
      <c r="B80" t="inlineStr">
        <is>
          <t xml:space="preserve">5U54HD121580-02</t>
        </is>
      </c>
      <c r="C80" t="inlineStr">
        <is>
          <t xml:space="preserve">Network for Advancing Sex Chromosome Aneuploidy Research Readiness (NASCARR)</t>
        </is>
      </c>
      <c r="D80" t="inlineStr">
        <is>
          <t xml:space="preserve">Nicole Renee Tartaglia</t>
        </is>
      </c>
      <c r="E80" t="inlineStr">
        <is>
          <t xml:space="preserve">Nicole Renee Tartaglia</t>
        </is>
      </c>
      <c r="F80" t="inlineStr">
        <is>
          <t xml:space="preserve">UNIVERSITY OF COLORADO DENVER</t>
        </is>
      </c>
      <c r="G80" t="inlineStr">
        <is>
          <t xml:space="preserve">Aurora</t>
        </is>
      </c>
      <c r="H80" t="inlineStr">
        <is>
          <t xml:space="preserve">CO</t>
        </is>
      </c>
      <c r="I80" t="inlineStr">
        <is>
          <t xml:space="preserve">NICHD</t>
        </is>
      </c>
      <c r="J80" t="inlineStr">
        <is>
          <t xml:space="preserve">Eunice Kennedy Shriver National Institute of Child Health and Human Development</t>
        </is>
      </c>
      <c r="K80" t="inlineStr">
        <is>
          <t xml:space="preserve">2026</t>
        </is>
      </c>
      <c r="L80" t="inlineStr">
        <is>
          <t xml:space="preserve">1638304</t>
        </is>
      </c>
      <c r="M80" t="inlineStr">
        <is>
          <t xml:space="preserve">2025-09-15</t>
        </is>
      </c>
      <c r="N80" t="inlineStr">
        <is>
          <t xml:space="preserve">2030-08-31</t>
        </is>
      </c>
      <c r="O80" t="inlineStr">
        <is>
          <t xml:space="preserve"/>
        </is>
      </c>
      <c r="P80" s="3" t="str">
        <f>HYPERLINK("https://reporter.nih.gov/project-details/11416576","https://reporter.nih.gov/project-details/11416576")</f>
        <v>https://reporter.nih.gov/project-details/11416576</v>
      </c>
    </row>
    <row r="81">
      <c r="A81" t="inlineStr">
        <is>
          <t xml:space="preserve">2026-09-08</t>
        </is>
      </c>
      <c r="B81" t="inlineStr">
        <is>
          <t xml:space="preserve">1R01HG014877-01</t>
        </is>
      </c>
      <c r="C81" t="inlineStr">
        <is>
          <t xml:space="preserve">TRIPODS: Transcriptome, RNA modifications, and Integrated Proteomics of Dynamic Synapses in the Mammalian Brain</t>
        </is>
      </c>
      <c r="D81" t="inlineStr">
        <is>
          <t xml:space="preserve">Boxuan Zhao</t>
        </is>
      </c>
      <c r="E81" t="inlineStr">
        <is>
          <t xml:space="preserve">Boxuan Zhao</t>
        </is>
      </c>
      <c r="F81" t="inlineStr">
        <is>
          <t xml:space="preserve">UNIVERSITY OF ILLINOIS AT URBANA-CHAMPAIGN</t>
        </is>
      </c>
      <c r="G81" t="inlineStr">
        <is>
          <t xml:space="preserve">CHAMPAIGN</t>
        </is>
      </c>
      <c r="H81" t="inlineStr">
        <is>
          <t xml:space="preserve">IL</t>
        </is>
      </c>
      <c r="I81" t="inlineStr">
        <is>
          <t xml:space="preserve">NHGRI</t>
        </is>
      </c>
      <c r="J81" t="inlineStr">
        <is>
          <t xml:space="preserve">National Human Genome Research Institute</t>
        </is>
      </c>
      <c r="K81" t="inlineStr">
        <is>
          <t xml:space="preserve">2026</t>
        </is>
      </c>
      <c r="L81" t="inlineStr">
        <is>
          <t xml:space="preserve">2395432</t>
        </is>
      </c>
      <c r="M81" t="inlineStr">
        <is>
          <t xml:space="preserve">2026-09-04</t>
        </is>
      </c>
      <c r="N81" t="inlineStr">
        <is>
          <t xml:space="preserve">2030-08-31</t>
        </is>
      </c>
      <c r="O81" t="inlineStr">
        <is>
          <t xml:space="preserve">Antibody, Small molecule</t>
        </is>
      </c>
      <c r="P81" s="3" t="str">
        <f>HYPERLINK("https://reporter.nih.gov/project-details/11293590","https://reporter.nih.gov/project-details/11293590")</f>
        <v>https://reporter.nih.gov/project-details/11293590</v>
      </c>
    </row>
    <row r="82">
      <c r="A82" t="inlineStr">
        <is>
          <t xml:space="preserve">2026-09-08</t>
        </is>
      </c>
      <c r="B82" t="inlineStr">
        <is>
          <t xml:space="preserve">1K23MH144209-01</t>
        </is>
      </c>
      <c r="C82" t="inlineStr">
        <is>
          <t xml:space="preserve">Embedding immediate performance feedback in consultation models for autism interventions in community mental health settings</t>
        </is>
      </c>
      <c r="D82" t="inlineStr">
        <is>
          <t xml:space="preserve">Diondra Straiton</t>
        </is>
      </c>
      <c r="E82" t="inlineStr">
        <is>
          <t xml:space="preserve">Diondra Straiton</t>
        </is>
      </c>
      <c r="F82" t="inlineStr">
        <is>
          <t xml:space="preserve">UNIVERSITY OF MIAMI CORAL GABLES</t>
        </is>
      </c>
      <c r="G82" t="inlineStr">
        <is>
          <t xml:space="preserve">CORAL GABLES</t>
        </is>
      </c>
      <c r="H82" t="inlineStr">
        <is>
          <t xml:space="preserve">FL</t>
        </is>
      </c>
      <c r="I82" t="inlineStr">
        <is>
          <t xml:space="preserve">NIMH</t>
        </is>
      </c>
      <c r="J82" t="inlineStr">
        <is>
          <t xml:space="preserve">National Institute of Mental Health</t>
        </is>
      </c>
      <c r="K82" t="inlineStr">
        <is>
          <t xml:space="preserve">2026</t>
        </is>
      </c>
      <c r="L82" t="inlineStr">
        <is>
          <t xml:space="preserve">186300</t>
        </is>
      </c>
      <c r="M82" t="inlineStr">
        <is>
          <t xml:space="preserve">2026-09-04</t>
        </is>
      </c>
      <c r="N82" t="inlineStr">
        <is>
          <t xml:space="preserve">2030-08-31</t>
        </is>
      </c>
      <c r="O82" t="inlineStr">
        <is>
          <t xml:space="preserve"/>
        </is>
      </c>
      <c r="P82" s="3" t="str">
        <f>HYPERLINK("https://reporter.nih.gov/project-details/11350833","https://reporter.nih.gov/project-details/11350833")</f>
        <v>https://reporter.nih.gov/project-details/11350833</v>
      </c>
    </row>
    <row r="83">
      <c r="A83" t="inlineStr">
        <is>
          <t xml:space="preserve">2026-09-07</t>
        </is>
      </c>
      <c r="B83" t="inlineStr">
        <is>
          <t xml:space="preserve">5R01HD109342-04</t>
        </is>
      </c>
      <c r="C83" t="inlineStr">
        <is>
          <t xml:space="preserve">Elucidating the Genetic Etiology of Intellectual Disability in African, Asian, and European Families</t>
        </is>
      </c>
      <c r="D83" t="inlineStr">
        <is>
          <t xml:space="preserve">SUZANNE M LEAL</t>
        </is>
      </c>
      <c r="E83" t="inlineStr">
        <is>
          <t xml:space="preserve">SUZANNE M LEAL; Isabelle Veerle Suzanne Schrauwen</t>
        </is>
      </c>
      <c r="F83" t="inlineStr">
        <is>
          <t xml:space="preserve">COLUMBIA UNIVERSITY HEALTH SCIENCES</t>
        </is>
      </c>
      <c r="G83" t="inlineStr">
        <is>
          <t xml:space="preserve">NEW YORK</t>
        </is>
      </c>
      <c r="H83" t="inlineStr">
        <is>
          <t xml:space="preserve">NY</t>
        </is>
      </c>
      <c r="I83" t="inlineStr">
        <is>
          <t xml:space="preserve">NICHD</t>
        </is>
      </c>
      <c r="J83" t="inlineStr">
        <is>
          <t xml:space="preserve">Eunice Kennedy Shriver National Institute of Child Health and Human Development</t>
        </is>
      </c>
      <c r="K83" t="inlineStr">
        <is>
          <t xml:space="preserve">2026</t>
        </is>
      </c>
      <c r="L83" t="inlineStr">
        <is>
          <t xml:space="preserve">657616</t>
        </is>
      </c>
      <c r="M83" t="inlineStr">
        <is>
          <t xml:space="preserve">2023-08-14</t>
        </is>
      </c>
      <c r="N83" t="inlineStr">
        <is>
          <t xml:space="preserve">2028-07-31</t>
        </is>
      </c>
      <c r="O83" t="inlineStr">
        <is>
          <t xml:space="preserve"/>
        </is>
      </c>
      <c r="P83" s="3" t="str">
        <f>HYPERLINK("https://reporter.nih.gov/project-details/11397280","https://reporter.nih.gov/project-details/11397280")</f>
        <v>https://reporter.nih.gov/project-details/11397280</v>
      </c>
    </row>
    <row r="84">
      <c r="A84" t="inlineStr">
        <is>
          <t xml:space="preserve">2026-09-07</t>
        </is>
      </c>
      <c r="B84" t="inlineStr">
        <is>
          <t xml:space="preserve">1R21HD122043-01</t>
        </is>
      </c>
      <c r="C84" t="inlineStr">
        <is>
          <t xml:space="preserve">Infant Start for Telehealth: A Pilot Feasibility Study</t>
        </is>
      </c>
      <c r="D84" t="inlineStr">
        <is>
          <t xml:space="preserve">Meagan Ruth Talbott</t>
        </is>
      </c>
      <c r="E84" t="inlineStr">
        <is>
          <t xml:space="preserve">Meagan Ruth Talbott</t>
        </is>
      </c>
      <c r="F84" t="inlineStr">
        <is>
          <t xml:space="preserve">UNIVERSITY OF CALIFORNIA AT DAVIS</t>
        </is>
      </c>
      <c r="G84" t="inlineStr">
        <is>
          <t xml:space="preserve">DAVIS</t>
        </is>
      </c>
      <c r="H84" t="inlineStr">
        <is>
          <t xml:space="preserve">CA</t>
        </is>
      </c>
      <c r="I84" t="inlineStr">
        <is>
          <t xml:space="preserve">NICHD</t>
        </is>
      </c>
      <c r="J84" t="inlineStr">
        <is>
          <t xml:space="preserve">Eunice Kennedy Shriver National Institute of Child Health and Human Development</t>
        </is>
      </c>
      <c r="K84" t="inlineStr">
        <is>
          <t xml:space="preserve">2026</t>
        </is>
      </c>
      <c r="L84" t="inlineStr">
        <is>
          <t xml:space="preserve">442750</t>
        </is>
      </c>
      <c r="M84" t="inlineStr">
        <is>
          <t xml:space="preserve">2026-09-04</t>
        </is>
      </c>
      <c r="N84" t="inlineStr">
        <is>
          <t xml:space="preserve">2028-08-31</t>
        </is>
      </c>
      <c r="O84" t="inlineStr">
        <is>
          <t xml:space="preserve">Behavioral</t>
        </is>
      </c>
      <c r="P84" s="3" t="str">
        <f>HYPERLINK("https://reporter.nih.gov/project-details/11353367","https://reporter.nih.gov/project-details/11353367")</f>
        <v>https://reporter.nih.gov/project-details/11353367</v>
      </c>
    </row>
    <row r="85">
      <c r="A85" t="inlineStr">
        <is>
          <t xml:space="preserve">2026-09-07</t>
        </is>
      </c>
      <c r="B85" t="inlineStr">
        <is>
          <t xml:space="preserve">5F31NS147423-02</t>
        </is>
      </c>
      <c r="C85" t="inlineStr">
        <is>
          <t xml:space="preserve">Investigating Neuroprotective Roles of BCAT1 During Hypoxia</t>
        </is>
      </c>
      <c r="D85" t="inlineStr">
        <is>
          <t xml:space="preserve">Margaret Mary Cassidy</t>
        </is>
      </c>
      <c r="E85" t="inlineStr">
        <is>
          <t xml:space="preserve">Margaret Mary Cassidy</t>
        </is>
      </c>
      <c r="F85" t="inlineStr">
        <is>
          <t xml:space="preserve">UNIVERSITY OF PENNSYLVANIA</t>
        </is>
      </c>
      <c r="G85" t="inlineStr">
        <is>
          <t xml:space="preserve">PHILADELPHIA</t>
        </is>
      </c>
      <c r="H85" t="inlineStr">
        <is>
          <t xml:space="preserve">PA</t>
        </is>
      </c>
      <c r="I85" t="inlineStr">
        <is>
          <t xml:space="preserve">NINDS</t>
        </is>
      </c>
      <c r="J85" t="inlineStr">
        <is>
          <t xml:space="preserve">National Institute of Neurological Disorders and Stroke</t>
        </is>
      </c>
      <c r="K85" t="inlineStr">
        <is>
          <t xml:space="preserve">2026</t>
        </is>
      </c>
      <c r="L85" t="inlineStr">
        <is>
          <t xml:space="preserve">50114</t>
        </is>
      </c>
      <c r="M85" t="inlineStr">
        <is>
          <t xml:space="preserve">2025-09-24</t>
        </is>
      </c>
      <c r="N85" t="inlineStr">
        <is>
          <t xml:space="preserve">2028-07-24</t>
        </is>
      </c>
      <c r="O85" t="inlineStr">
        <is>
          <t xml:space="preserve">Small molecule</t>
        </is>
      </c>
      <c r="P85" s="3" t="str">
        <f>HYPERLINK("https://reporter.nih.gov/project-details/11424181","https://reporter.nih.gov/project-details/11424181")</f>
        <v>https://reporter.nih.gov/project-details/11424181</v>
      </c>
    </row>
    <row r="86">
      <c r="A86" t="inlineStr">
        <is>
          <t xml:space="preserve">2026-09-07</t>
        </is>
      </c>
      <c r="B86" t="inlineStr">
        <is>
          <t xml:space="preserve">1F31DC024464-01</t>
        </is>
      </c>
      <c r="C86" t="inlineStr">
        <is>
          <t xml:space="preserve">Foundations of Human Language Acquisition in Prelinguistic Brain and Behavior Development</t>
        </is>
      </c>
      <c r="D86" t="inlineStr">
        <is>
          <t xml:space="preserve">Abigail Joy Inman</t>
        </is>
      </c>
      <c r="E86" t="inlineStr">
        <is>
          <t xml:space="preserve">Abigail Joy Inman</t>
        </is>
      </c>
      <c r="F86" t="inlineStr">
        <is>
          <t xml:space="preserve">EMORY UNIVERSITY</t>
        </is>
      </c>
      <c r="G86" t="inlineStr">
        <is>
          <t xml:space="preserve">ATLANTA</t>
        </is>
      </c>
      <c r="H86" t="inlineStr">
        <is>
          <t xml:space="preserve">GA</t>
        </is>
      </c>
      <c r="I86" t="inlineStr">
        <is>
          <t xml:space="preserve">NIDCD</t>
        </is>
      </c>
      <c r="J86" t="inlineStr">
        <is>
          <t xml:space="preserve">National Institute on Deafness and Other Communication Disorders</t>
        </is>
      </c>
      <c r="K86" t="inlineStr">
        <is>
          <t xml:space="preserve">2026</t>
        </is>
      </c>
      <c r="L86" t="inlineStr">
        <is>
          <t xml:space="preserve">50114</t>
        </is>
      </c>
      <c r="M86" t="inlineStr">
        <is>
          <t xml:space="preserve">2026-09-22</t>
        </is>
      </c>
      <c r="N86" t="inlineStr">
        <is>
          <t xml:space="preserve">2029-09-21</t>
        </is>
      </c>
      <c r="O86" t="inlineStr">
        <is>
          <t xml:space="preserve">Behavioral</t>
        </is>
      </c>
      <c r="P86" s="3" t="str">
        <f>HYPERLINK("https://reporter.nih.gov/project-details/11525429","https://reporter.nih.gov/project-details/11525429")</f>
        <v>https://reporter.nih.gov/project-details/11525429</v>
      </c>
    </row>
    <row r="87">
      <c r="A87" t="inlineStr">
        <is>
          <t xml:space="preserve">2026-09-07</t>
        </is>
      </c>
      <c r="B87" t="inlineStr">
        <is>
          <t xml:space="preserve">1R21HD119645-01A1</t>
        </is>
      </c>
      <c r="C87" t="inlineStr">
        <is>
          <t xml:space="preserve">A Pilot Trial of the Feasibility and Acceptability of the CRUSH Curriculum for Autistic Adults</t>
        </is>
      </c>
      <c r="D87" t="inlineStr">
        <is>
          <t xml:space="preserve">Susan Faja</t>
        </is>
      </c>
      <c r="E87" t="inlineStr">
        <is>
          <t xml:space="preserve">Susan Faja</t>
        </is>
      </c>
      <c r="F87" t="inlineStr">
        <is>
          <t xml:space="preserve">BOSTON CHILDREN'S HOSPITAL</t>
        </is>
      </c>
      <c r="G87" t="inlineStr">
        <is>
          <t xml:space="preserve">BOSTON</t>
        </is>
      </c>
      <c r="H87" t="inlineStr">
        <is>
          <t xml:space="preserve">MA</t>
        </is>
      </c>
      <c r="I87" t="inlineStr">
        <is>
          <t xml:space="preserve">NICHD</t>
        </is>
      </c>
      <c r="J87" t="inlineStr">
        <is>
          <t xml:space="preserve">Eunice Kennedy Shriver National Institute of Child Health and Human Development</t>
        </is>
      </c>
      <c r="K87" t="inlineStr">
        <is>
          <t xml:space="preserve">2026</t>
        </is>
      </c>
      <c r="L87" t="inlineStr">
        <is>
          <t xml:space="preserve">489500</t>
        </is>
      </c>
      <c r="M87" t="inlineStr">
        <is>
          <t xml:space="preserve">2026-09-07</t>
        </is>
      </c>
      <c r="N87" t="inlineStr">
        <is>
          <t xml:space="preserve">2028-08-31</t>
        </is>
      </c>
      <c r="O87" t="inlineStr">
        <is>
          <t xml:space="preserve"/>
        </is>
      </c>
      <c r="P87" s="3" t="str">
        <f>HYPERLINK("https://reporter.nih.gov/project-details/11374591","https://reporter.nih.gov/project-details/11374591")</f>
        <v>https://reporter.nih.gov/project-details/11374591</v>
      </c>
    </row>
    <row r="88">
      <c r="A88" t="inlineStr">
        <is>
          <t xml:space="preserve">2026-09-07</t>
        </is>
      </c>
      <c r="B88" t="inlineStr">
        <is>
          <t xml:space="preserve">5K01MH137518-03</t>
        </is>
      </c>
      <c r="C88" t="inlineStr">
        <is>
          <t xml:space="preserve">Multi-modal sensory feedback mechanisms of fine and gross motor control in autism spectrum disorders</t>
        </is>
      </c>
      <c r="D88" t="inlineStr">
        <is>
          <t xml:space="preserve">Robin L Shafer</t>
        </is>
      </c>
      <c r="E88" t="inlineStr">
        <is>
          <t xml:space="preserve">Robin L Shafer</t>
        </is>
      </c>
      <c r="F88" t="inlineStr">
        <is>
          <t xml:space="preserve">UNIVERSITY OF KANSAS LAWRENCE</t>
        </is>
      </c>
      <c r="G88" t="inlineStr">
        <is>
          <t xml:space="preserve">LAWRENCE</t>
        </is>
      </c>
      <c r="H88" t="inlineStr">
        <is>
          <t xml:space="preserve">KS</t>
        </is>
      </c>
      <c r="I88" t="inlineStr">
        <is>
          <t xml:space="preserve">NIMH</t>
        </is>
      </c>
      <c r="J88" t="inlineStr">
        <is>
          <t xml:space="preserve">National Institute of Mental Health</t>
        </is>
      </c>
      <c r="K88" t="inlineStr">
        <is>
          <t xml:space="preserve">2026</t>
        </is>
      </c>
      <c r="L88" t="inlineStr">
        <is>
          <t xml:space="preserve">149407</t>
        </is>
      </c>
      <c r="M88" t="inlineStr">
        <is>
          <t xml:space="preserve">2024-09-01</t>
        </is>
      </c>
      <c r="N88" t="inlineStr">
        <is>
          <t xml:space="preserve">2029-08-31</t>
        </is>
      </c>
      <c r="O88" t="inlineStr">
        <is>
          <t xml:space="preserve">Device / stimulation</t>
        </is>
      </c>
      <c r="P88" s="3" t="str">
        <f>HYPERLINK("https://reporter.nih.gov/project-details/11403929","https://reporter.nih.gov/project-details/11403929")</f>
        <v>https://reporter.nih.gov/project-details/11403929</v>
      </c>
    </row>
    <row r="89">
      <c r="A89" t="inlineStr">
        <is>
          <t xml:space="preserve">2026-09-07</t>
        </is>
      </c>
      <c r="B89" t="inlineStr">
        <is>
          <t xml:space="preserve">5K23MH137383-02</t>
        </is>
      </c>
      <c r="C89" t="inlineStr">
        <is>
          <t xml:space="preserve">Family-Centered Implementation of Parent Training for Emotion Regulation in Autistic Toddlers within the Part C Early Intervention System</t>
        </is>
      </c>
      <c r="D89" t="inlineStr">
        <is>
          <t xml:space="preserve">Sarah R. Edmunds</t>
        </is>
      </c>
      <c r="E89" t="inlineStr">
        <is>
          <t xml:space="preserve">Sarah R. Edmunds</t>
        </is>
      </c>
      <c r="F89" t="inlineStr">
        <is>
          <t xml:space="preserve">UNIVERSITY OF SOUTH CAROLINA AT COLUMBIA</t>
        </is>
      </c>
      <c r="G89" t="inlineStr">
        <is>
          <t xml:space="preserve">COLUMBIA</t>
        </is>
      </c>
      <c r="H89" t="inlineStr">
        <is>
          <t xml:space="preserve">SC</t>
        </is>
      </c>
      <c r="I89" t="inlineStr">
        <is>
          <t xml:space="preserve">NIMH</t>
        </is>
      </c>
      <c r="J89" t="inlineStr">
        <is>
          <t xml:space="preserve">National Institute of Mental Health</t>
        </is>
      </c>
      <c r="K89" t="inlineStr">
        <is>
          <t xml:space="preserve">2026</t>
        </is>
      </c>
      <c r="L89" t="inlineStr">
        <is>
          <t xml:space="preserve">163539</t>
        </is>
      </c>
      <c r="M89" t="inlineStr">
        <is>
          <t xml:space="preserve">2025-09-04</t>
        </is>
      </c>
      <c r="N89" t="inlineStr">
        <is>
          <t xml:space="preserve">2029-08-31</t>
        </is>
      </c>
      <c r="O89" t="inlineStr">
        <is>
          <t xml:space="preserve">Behavioral</t>
        </is>
      </c>
      <c r="P89" s="3" t="str">
        <f>HYPERLINK("https://reporter.nih.gov/project-details/11415479","https://reporter.nih.gov/project-details/11415479")</f>
        <v>https://reporter.nih.gov/project-details/11415479</v>
      </c>
    </row>
    <row r="90">
      <c r="A90" t="inlineStr">
        <is>
          <t xml:space="preserve">2026-09-07</t>
        </is>
      </c>
      <c r="B90" t="inlineStr">
        <is>
          <t xml:space="preserve">1K99MH141252-01A1</t>
        </is>
      </c>
      <c r="C90" t="inlineStr">
        <is>
          <t xml:space="preserve">Integration of spatial and multi-ome data to characterize molecular and cellular networks in ASD</t>
        </is>
      </c>
      <c r="D90" t="inlineStr">
        <is>
          <t xml:space="preserve">Lucy Bicks</t>
        </is>
      </c>
      <c r="E90" t="inlineStr">
        <is>
          <t xml:space="preserve">Lucy Bicks</t>
        </is>
      </c>
      <c r="F90" t="inlineStr">
        <is>
          <t xml:space="preserve">UNIVERSITY OF CALIFORNIA LOS ANGELES</t>
        </is>
      </c>
      <c r="G90" t="inlineStr">
        <is>
          <t xml:space="preserve">LOS ANGELES</t>
        </is>
      </c>
      <c r="H90" t="inlineStr">
        <is>
          <t xml:space="preserve">CA</t>
        </is>
      </c>
      <c r="I90" t="inlineStr">
        <is>
          <t xml:space="preserve">NIMH</t>
        </is>
      </c>
      <c r="J90" t="inlineStr">
        <is>
          <t xml:space="preserve">National Institute of Mental Health</t>
        </is>
      </c>
      <c r="K90" t="inlineStr">
        <is>
          <t xml:space="preserve">2026</t>
        </is>
      </c>
      <c r="L90" t="inlineStr">
        <is>
          <t xml:space="preserve">118476</t>
        </is>
      </c>
      <c r="M90" t="inlineStr">
        <is>
          <t xml:space="preserve">2026-09-01</t>
        </is>
      </c>
      <c r="N90" t="inlineStr">
        <is>
          <t xml:space="preserve">2028-08-31</t>
        </is>
      </c>
      <c r="O90" t="inlineStr">
        <is>
          <t xml:space="preserve"/>
        </is>
      </c>
      <c r="P90" s="3" t="str">
        <f>HYPERLINK("https://reporter.nih.gov/project-details/11451768","https://reporter.nih.gov/project-details/11451768")</f>
        <v>https://reporter.nih.gov/project-details/11451768</v>
      </c>
    </row>
    <row r="91">
      <c r="A91" t="inlineStr">
        <is>
          <t xml:space="preserve">2026-09-04</t>
        </is>
      </c>
      <c r="B91" t="inlineStr">
        <is>
          <t xml:space="preserve">5P50HD118717-02</t>
        </is>
      </c>
      <c r="C91" t="inlineStr">
        <is>
          <t xml:space="preserve">Mechanistic and translational medicine studies of brain neurophysiology and phenotypic heterogeneity in fragile X syndrome</t>
        </is>
      </c>
      <c r="D91" t="inlineStr">
        <is>
          <t xml:space="preserve">Craig Erickson</t>
        </is>
      </c>
      <c r="E91" t="inlineStr">
        <is>
          <t xml:space="preserve">Craig Erickson</t>
        </is>
      </c>
      <c r="F91" t="inlineStr">
        <is>
          <t xml:space="preserve">CINCINNATI CHILDRENS HOSP MED CTR</t>
        </is>
      </c>
      <c r="G91" t="inlineStr">
        <is>
          <t xml:space="preserve">CINCINNATI</t>
        </is>
      </c>
      <c r="H91" t="inlineStr">
        <is>
          <t xml:space="preserve">OH</t>
        </is>
      </c>
      <c r="I91" t="inlineStr">
        <is>
          <t xml:space="preserve">NICHD</t>
        </is>
      </c>
      <c r="J91" t="inlineStr">
        <is>
          <t xml:space="preserve">Eunice Kennedy Shriver National Institute of Child Health and Human Development</t>
        </is>
      </c>
      <c r="K91" t="inlineStr">
        <is>
          <t xml:space="preserve">2026</t>
        </is>
      </c>
      <c r="L91" t="inlineStr">
        <is>
          <t xml:space="preserve">1881985</t>
        </is>
      </c>
      <c r="M91" t="inlineStr">
        <is>
          <t xml:space="preserve">2025-09-18</t>
        </is>
      </c>
      <c r="N91" t="inlineStr">
        <is>
          <t xml:space="preserve">2030-08-31</t>
        </is>
      </c>
      <c r="O91" t="inlineStr">
        <is>
          <t xml:space="preserve">Gene therapy, Small molecule</t>
        </is>
      </c>
      <c r="P91" s="3" t="str">
        <f>HYPERLINK("https://reporter.nih.gov/project-details/11419164","https://reporter.nih.gov/project-details/11419164")</f>
        <v>https://reporter.nih.gov/project-details/11419164</v>
      </c>
    </row>
    <row r="92">
      <c r="A92" t="inlineStr">
        <is>
          <t xml:space="preserve">2026-09-04</t>
        </is>
      </c>
      <c r="B92" t="inlineStr">
        <is>
          <t xml:space="preserve">1K99MH141710-01</t>
        </is>
      </c>
      <c r="C92" t="inlineStr">
        <is>
          <t xml:space="preserve">Neural basis of structure learning for value inference in the orbitofrontal cortex</t>
        </is>
      </c>
      <c r="D92" t="inlineStr">
        <is>
          <t xml:space="preserve">Jaeeon Lee</t>
        </is>
      </c>
      <c r="E92" t="inlineStr">
        <is>
          <t xml:space="preserve">Jaeeon Lee</t>
        </is>
      </c>
      <c r="F92" t="inlineStr">
        <is>
          <t xml:space="preserve">HARVARD UNIVERSITY</t>
        </is>
      </c>
      <c r="G92" t="inlineStr">
        <is>
          <t xml:space="preserve">CAMBRIDGE</t>
        </is>
      </c>
      <c r="H92" t="inlineStr">
        <is>
          <t xml:space="preserve">MA</t>
        </is>
      </c>
      <c r="I92" t="inlineStr">
        <is>
          <t xml:space="preserve">NIMH</t>
        </is>
      </c>
      <c r="J92" t="inlineStr">
        <is>
          <t xml:space="preserve">National Institute of Mental Health</t>
        </is>
      </c>
      <c r="K92" t="inlineStr">
        <is>
          <t xml:space="preserve">2026</t>
        </is>
      </c>
      <c r="L92" t="inlineStr">
        <is>
          <t xml:space="preserve">120582</t>
        </is>
      </c>
      <c r="M92" t="inlineStr">
        <is>
          <t xml:space="preserve">2026-09-02</t>
        </is>
      </c>
      <c r="N92" t="inlineStr">
        <is>
          <t xml:space="preserve">2028-08-31</t>
        </is>
      </c>
      <c r="O92" t="inlineStr">
        <is>
          <t xml:space="preserve"/>
        </is>
      </c>
      <c r="P92" s="3" t="str">
        <f>HYPERLINK("https://reporter.nih.gov/project-details/11212088","https://reporter.nih.gov/project-details/11212088")</f>
        <v>https://reporter.nih.gov/project-details/11212088</v>
      </c>
    </row>
    <row r="93">
      <c r="A93" t="inlineStr">
        <is>
          <t xml:space="preserve">2026-09-04</t>
        </is>
      </c>
      <c r="B93" t="inlineStr">
        <is>
          <t xml:space="preserve">1R01NS146341-01A1</t>
        </is>
      </c>
      <c r="C93" t="inlineStr">
        <is>
          <t xml:space="preserve">Glucose &amp; oxygen metabolism regulate human cortical progenitor development impacting brain health</t>
        </is>
      </c>
      <c r="D93" t="inlineStr">
        <is>
          <t xml:space="preserve">Madeline Andrews</t>
        </is>
      </c>
      <c r="E93" t="inlineStr">
        <is>
          <t xml:space="preserve">Madeline Andrews</t>
        </is>
      </c>
      <c r="F93" t="inlineStr">
        <is>
          <t xml:space="preserve">ARIZONA STATE UNIVERSITY-TEMPE CAMPUS</t>
        </is>
      </c>
      <c r="G93" t="inlineStr">
        <is>
          <t xml:space="preserve">SCOTTSDALE</t>
        </is>
      </c>
      <c r="H93" t="inlineStr">
        <is>
          <t xml:space="preserve">AZ</t>
        </is>
      </c>
      <c r="I93" t="inlineStr">
        <is>
          <t xml:space="preserve">NINDS</t>
        </is>
      </c>
      <c r="J93" t="inlineStr">
        <is>
          <t xml:space="preserve">National Institute of Neurological Disorders and Stroke</t>
        </is>
      </c>
      <c r="K93" t="inlineStr">
        <is>
          <t xml:space="preserve">2026</t>
        </is>
      </c>
      <c r="L93" t="inlineStr">
        <is>
          <t xml:space="preserve">549397</t>
        </is>
      </c>
      <c r="M93" t="inlineStr">
        <is>
          <t xml:space="preserve">2026-09-05</t>
        </is>
      </c>
      <c r="N93" t="inlineStr">
        <is>
          <t xml:space="preserve">2031-08-31</t>
        </is>
      </c>
      <c r="O93" t="inlineStr">
        <is>
          <t xml:space="preserve"/>
        </is>
      </c>
      <c r="P93" s="3" t="str">
        <f>HYPERLINK("https://reporter.nih.gov/project-details/11447894","https://reporter.nih.gov/project-details/11447894")</f>
        <v>https://reporter.nih.gov/project-details/11447894</v>
      </c>
    </row>
    <row r="94">
      <c r="A94" t="inlineStr">
        <is>
          <t xml:space="preserve">2026-09-04</t>
        </is>
      </c>
      <c r="B94" t="inlineStr">
        <is>
          <t xml:space="preserve">3R01AA030014-04S1</t>
        </is>
      </c>
      <c r="C94" t="inlineStr">
        <is>
          <t xml:space="preserve">Fetal Neuroprotection by choline supplementation in heavy drinking pregnant women</t>
        </is>
      </c>
      <c r="D94" t="inlineStr">
        <is>
          <t xml:space="preserve">Andre Jan Willem van der Kouwe</t>
        </is>
      </c>
      <c r="E94" t="inlineStr">
        <is>
          <t xml:space="preserve">ROBERT COLIN CARTER; SANDRA W. JACOBSON; Ernesta Maria Meintjes; Andre Jan Willem van der Kouwe</t>
        </is>
      </c>
      <c r="F94" t="inlineStr">
        <is>
          <t xml:space="preserve">MASSACHUSETTS GENERAL HOSPITAL</t>
        </is>
      </c>
      <c r="G94" t="inlineStr">
        <is>
          <t xml:space="preserve">BOSTON</t>
        </is>
      </c>
      <c r="H94" t="inlineStr">
        <is>
          <t xml:space="preserve">MA</t>
        </is>
      </c>
      <c r="I94" t="inlineStr">
        <is>
          <t xml:space="preserve">NIAAA</t>
        </is>
      </c>
      <c r="J94" t="inlineStr">
        <is>
          <t xml:space="preserve">National Institute on Alcohol Abuse and Alcoholism</t>
        </is>
      </c>
      <c r="K94" t="inlineStr">
        <is>
          <t xml:space="preserve">2026</t>
        </is>
      </c>
      <c r="L94" t="inlineStr">
        <is>
          <t xml:space="preserve">199575</t>
        </is>
      </c>
      <c r="M94" t="inlineStr">
        <is>
          <t xml:space="preserve">2023-09-15</t>
        </is>
      </c>
      <c r="N94" t="inlineStr">
        <is>
          <t xml:space="preserve">2028-08-31</t>
        </is>
      </c>
      <c r="O94" t="inlineStr">
        <is>
          <t xml:space="preserve">Behavioral</t>
        </is>
      </c>
      <c r="P94" s="3" t="str">
        <f>HYPERLINK("https://reporter.nih.gov/project-details/11616489","https://reporter.nih.gov/project-details/11616489")</f>
        <v>https://reporter.nih.gov/project-details/11616489</v>
      </c>
    </row>
    <row r="95">
      <c r="A95" t="inlineStr">
        <is>
          <t xml:space="preserve">2026-09-04</t>
        </is>
      </c>
      <c r="B95" t="inlineStr">
        <is>
          <t xml:space="preserve">4R33NS140683-02</t>
        </is>
      </c>
      <c r="C95" t="inlineStr">
        <is>
          <t xml:space="preserve">Modeling Lennox-Gastaut Syndrome for improved clinical and neurobehavioral outcomes</t>
        </is>
      </c>
      <c r="D95" t="inlineStr">
        <is>
          <t xml:space="preserve">LIBOR VELISEK</t>
        </is>
      </c>
      <c r="E95" t="inlineStr">
        <is>
          <t xml:space="preserve">LIBOR VELISEK</t>
        </is>
      </c>
      <c r="F95" t="inlineStr">
        <is>
          <t xml:space="preserve">NEW YORK MEDICAL COLLEGE</t>
        </is>
      </c>
      <c r="G95" t="inlineStr">
        <is>
          <t xml:space="preserve">VALHALLA</t>
        </is>
      </c>
      <c r="H95" t="inlineStr">
        <is>
          <t xml:space="preserve">NY</t>
        </is>
      </c>
      <c r="I95" t="inlineStr">
        <is>
          <t xml:space="preserve">NINDS</t>
        </is>
      </c>
      <c r="J95" t="inlineStr">
        <is>
          <t xml:space="preserve">National Institute of Neurological Disorders and Stroke</t>
        </is>
      </c>
      <c r="K95" t="inlineStr">
        <is>
          <t xml:space="preserve">2026</t>
        </is>
      </c>
      <c r="L95" t="inlineStr">
        <is>
          <t xml:space="preserve">406620</t>
        </is>
      </c>
      <c r="M95" t="inlineStr">
        <is>
          <t xml:space="preserve">2025-08-01</t>
        </is>
      </c>
      <c r="N95" t="inlineStr">
        <is>
          <t xml:space="preserve">2028-07-31</t>
        </is>
      </c>
      <c r="O95" t="inlineStr">
        <is>
          <t xml:space="preserve">Small molecule, Device / stimulation</t>
        </is>
      </c>
      <c r="P95" s="3" t="str">
        <f>HYPERLINK("https://reporter.nih.gov/project-details/11416171","https://reporter.nih.gov/project-details/11416171")</f>
        <v>https://reporter.nih.gov/project-details/11416171</v>
      </c>
    </row>
    <row r="96">
      <c r="A96" t="inlineStr">
        <is>
          <t xml:space="preserve">2026-09-04</t>
        </is>
      </c>
      <c r="B96" t="inlineStr">
        <is>
          <t xml:space="preserve">1R01HD120332-01A1</t>
        </is>
      </c>
      <c r="C96" t="inlineStr">
        <is>
          <t xml:space="preserve">Impact of Cancer Therapy on Sperm Mutations Using Sequential Samples</t>
        </is>
      </c>
      <c r="D96" t="inlineStr">
        <is>
          <t xml:space="preserve">Jonathan Shoag</t>
        </is>
      </c>
      <c r="E96" t="inlineStr">
        <is>
          <t xml:space="preserve">Jonathan Shoag</t>
        </is>
      </c>
      <c r="F96" t="inlineStr">
        <is>
          <t xml:space="preserve">CASE WESTERN RESERVE UNIVERSITY</t>
        </is>
      </c>
      <c r="G96" t="inlineStr">
        <is>
          <t xml:space="preserve">CLEVELAND</t>
        </is>
      </c>
      <c r="H96" t="inlineStr">
        <is>
          <t xml:space="preserve">OH</t>
        </is>
      </c>
      <c r="I96" t="inlineStr">
        <is>
          <t xml:space="preserve">NICHD</t>
        </is>
      </c>
      <c r="J96" t="inlineStr">
        <is>
          <t xml:space="preserve">Eunice Kennedy Shriver National Institute of Child Health and Human Development</t>
        </is>
      </c>
      <c r="K96" t="inlineStr">
        <is>
          <t xml:space="preserve">2026</t>
        </is>
      </c>
      <c r="L96" t="inlineStr">
        <is>
          <t xml:space="preserve">673995</t>
        </is>
      </c>
      <c r="M96" t="inlineStr">
        <is>
          <t xml:space="preserve">2026-09-04</t>
        </is>
      </c>
      <c r="N96" t="inlineStr">
        <is>
          <t xml:space="preserve">2031-06-30</t>
        </is>
      </c>
      <c r="O96" t="inlineStr">
        <is>
          <t xml:space="preserve"/>
        </is>
      </c>
      <c r="P96" s="3" t="str">
        <f>HYPERLINK("https://reporter.nih.gov/project-details/11447404","https://reporter.nih.gov/project-details/11447404")</f>
        <v>https://reporter.nih.gov/project-details/11447404</v>
      </c>
    </row>
    <row r="97">
      <c r="A97" t="inlineStr">
        <is>
          <t xml:space="preserve">2026-09-04</t>
        </is>
      </c>
      <c r="B97" t="inlineStr">
        <is>
          <t xml:space="preserve">5U24CA248010-07</t>
        </is>
      </c>
      <c r="C97" t="inlineStr">
        <is>
          <t xml:space="preserve">Cancer Deep Phenotype Extraction from Electronic Medical Records (renewal)</t>
        </is>
      </c>
      <c r="D97" t="inlineStr">
        <is>
          <t xml:space="preserve">GUERGANA K. SAVOVA</t>
        </is>
      </c>
      <c r="E97" t="inlineStr">
        <is>
          <t xml:space="preserve">HARRY S HOCHHEISER; GUERGANA K. SAVOVA; Jeremy L Warner</t>
        </is>
      </c>
      <c r="F97" t="inlineStr">
        <is>
          <t xml:space="preserve">BOSTON CHILDREN'S HOSPITAL</t>
        </is>
      </c>
      <c r="G97" t="inlineStr">
        <is>
          <t xml:space="preserve">BOSTON</t>
        </is>
      </c>
      <c r="H97" t="inlineStr">
        <is>
          <t xml:space="preserve">MA</t>
        </is>
      </c>
      <c r="I97" t="inlineStr">
        <is>
          <t xml:space="preserve">NCI</t>
        </is>
      </c>
      <c r="J97" t="inlineStr">
        <is>
          <t xml:space="preserve">National Cancer Institute</t>
        </is>
      </c>
      <c r="K97" t="inlineStr">
        <is>
          <t xml:space="preserve">2026</t>
        </is>
      </c>
      <c r="L97" t="inlineStr">
        <is>
          <t xml:space="preserve">775873</t>
        </is>
      </c>
      <c r="M97" t="inlineStr">
        <is>
          <t xml:space="preserve">2020-09-24</t>
        </is>
      </c>
      <c r="N97" t="inlineStr">
        <is>
          <t xml:space="preserve">2030-08-31</t>
        </is>
      </c>
      <c r="O97" t="inlineStr">
        <is>
          <t xml:space="preserve"/>
        </is>
      </c>
      <c r="P97" s="3" t="str">
        <f>HYPERLINK("https://reporter.nih.gov/project-details/11396522","https://reporter.nih.gov/project-details/11396522")</f>
        <v>https://reporter.nih.gov/project-details/11396522</v>
      </c>
    </row>
    <row r="98">
      <c r="A98" t="inlineStr">
        <is>
          <t xml:space="preserve">2026-09-04</t>
        </is>
      </c>
      <c r="B98" t="inlineStr">
        <is>
          <t xml:space="preserve">1K99MH141239-01A1</t>
        </is>
      </c>
      <c r="C98" t="inlineStr">
        <is>
          <t xml:space="preserve">Investigating the Molecular Basis of Synapse Formation through High-Throughput Functional CRISPR Screening</t>
        </is>
      </c>
      <c r="D98" t="inlineStr">
        <is>
          <t xml:space="preserve">Min Huang</t>
        </is>
      </c>
      <c r="E98" t="inlineStr">
        <is>
          <t xml:space="preserve">Min Huang</t>
        </is>
      </c>
      <c r="F98" t="inlineStr">
        <is>
          <t xml:space="preserve">STANFORD UNIVERSITY</t>
        </is>
      </c>
      <c r="G98" t="inlineStr">
        <is>
          <t xml:space="preserve">STANFORD</t>
        </is>
      </c>
      <c r="H98" t="inlineStr">
        <is>
          <t xml:space="preserve">CA</t>
        </is>
      </c>
      <c r="I98" t="inlineStr">
        <is>
          <t xml:space="preserve">NIMH</t>
        </is>
      </c>
      <c r="J98" t="inlineStr">
        <is>
          <t xml:space="preserve">National Institute of Mental Health</t>
        </is>
      </c>
      <c r="K98" t="inlineStr">
        <is>
          <t xml:space="preserve">2026</t>
        </is>
      </c>
      <c r="L98" t="inlineStr">
        <is>
          <t xml:space="preserve">124794</t>
        </is>
      </c>
      <c r="M98" t="inlineStr">
        <is>
          <t xml:space="preserve">2026-09-02</t>
        </is>
      </c>
      <c r="N98" t="inlineStr">
        <is>
          <t xml:space="preserve">2028-08-31</t>
        </is>
      </c>
      <c r="O98" t="inlineStr">
        <is>
          <t xml:space="preserve">Gene therapy, Small molecule</t>
        </is>
      </c>
      <c r="P98" s="3" t="str">
        <f>HYPERLINK("https://reporter.nih.gov/project-details/11452557","https://reporter.nih.gov/project-details/11452557")</f>
        <v>https://reporter.nih.gov/project-details/11452557</v>
      </c>
    </row>
    <row r="99">
      <c r="A99" t="inlineStr">
        <is>
          <t xml:space="preserve">2026-09-04</t>
        </is>
      </c>
      <c r="B99" t="inlineStr">
        <is>
          <t xml:space="preserve">1R01HD123221-01</t>
        </is>
      </c>
      <c r="C99" t="inlineStr">
        <is>
          <t xml:space="preserve">Metformin for gestational diabetes: assessing risk of long-term childhood outcomes</t>
        </is>
      </c>
      <c r="D99" t="inlineStr">
        <is>
          <t xml:space="preserve">Elizabeth Ann Suarez</t>
        </is>
      </c>
      <c r="E99" t="inlineStr">
        <is>
          <t xml:space="preserve">Emily Rosenfeld; Elizabeth Ann Suarez</t>
        </is>
      </c>
      <c r="F99" t="inlineStr">
        <is>
          <t xml:space="preserve">RUTGERS BIOMEDICAL AND HEALTH SCIENCES</t>
        </is>
      </c>
      <c r="G99" t="inlineStr">
        <is>
          <t xml:space="preserve">Newark</t>
        </is>
      </c>
      <c r="H99" t="inlineStr">
        <is>
          <t xml:space="preserve">NJ</t>
        </is>
      </c>
      <c r="I99" t="inlineStr">
        <is>
          <t xml:space="preserve">NICHD</t>
        </is>
      </c>
      <c r="J99" t="inlineStr">
        <is>
          <t xml:space="preserve">Eunice Kennedy Shriver National Institute of Child Health and Human Development</t>
        </is>
      </c>
      <c r="K99" t="inlineStr">
        <is>
          <t xml:space="preserve">2026</t>
        </is>
      </c>
      <c r="L99" t="inlineStr">
        <is>
          <t xml:space="preserve">718484</t>
        </is>
      </c>
      <c r="M99" t="inlineStr">
        <is>
          <t xml:space="preserve">2026-09-04</t>
        </is>
      </c>
      <c r="N99" t="inlineStr">
        <is>
          <t xml:space="preserve">2031-06-30</t>
        </is>
      </c>
      <c r="O99" t="inlineStr">
        <is>
          <t xml:space="preserve">Small molecule</t>
        </is>
      </c>
      <c r="P99" s="3" t="str">
        <f>HYPERLINK("https://reporter.nih.gov/project-details/11430961","https://reporter.nih.gov/project-details/11430961")</f>
        <v>https://reporter.nih.gov/project-details/11430961</v>
      </c>
    </row>
    <row r="100">
      <c r="A100" t="inlineStr">
        <is>
          <t xml:space="preserve">2026-09-04</t>
        </is>
      </c>
      <c r="B100" t="inlineStr">
        <is>
          <t xml:space="preserve">4RF1MH137007-03</t>
        </is>
      </c>
      <c r="C100" t="inlineStr">
        <is>
          <t xml:space="preserve">Socioecological Study of Autism, Suicide Risk, and Mental Health Care: Multilevel Analyses and Community Consultation for Suicide Prevention</t>
        </is>
      </c>
      <c r="D100" t="inlineStr">
        <is>
          <t xml:space="preserve">Nicole M. Marlow</t>
        </is>
      </c>
      <c r="E100" t="inlineStr">
        <is>
          <t xml:space="preserve">Molly Marie Jacobs; Jessica Marvelle Kramer; Nicole M. Marlow</t>
        </is>
      </c>
      <c r="F100" t="inlineStr">
        <is>
          <t xml:space="preserve">UNIVERSITY OF FLORIDA</t>
        </is>
      </c>
      <c r="G100" t="inlineStr">
        <is>
          <t xml:space="preserve">GAINESVILLE</t>
        </is>
      </c>
      <c r="H100" t="inlineStr">
        <is>
          <t xml:space="preserve">FL</t>
        </is>
      </c>
      <c r="I100" t="inlineStr">
        <is>
          <t xml:space="preserve">NIMH</t>
        </is>
      </c>
      <c r="J100" t="inlineStr">
        <is>
          <t xml:space="preserve">National Institute of Mental Health</t>
        </is>
      </c>
      <c r="K100" t="inlineStr">
        <is>
          <t xml:space="preserve">2026</t>
        </is>
      </c>
      <c r="L100" t="inlineStr">
        <is>
          <t xml:space="preserve">1166340</t>
        </is>
      </c>
      <c r="M100" t="inlineStr">
        <is>
          <t xml:space="preserve">2024-08-01</t>
        </is>
      </c>
      <c r="N100" t="inlineStr">
        <is>
          <t xml:space="preserve">2028-04-30</t>
        </is>
      </c>
      <c r="O100" t="inlineStr">
        <is>
          <t xml:space="preserve"/>
        </is>
      </c>
      <c r="P100" s="3" t="str">
        <f>HYPERLINK("https://reporter.nih.gov/project-details/11387695","https://reporter.nih.gov/project-details/11387695")</f>
        <v>https://reporter.nih.gov/project-details/11387695</v>
      </c>
    </row>
    <row r="101">
      <c r="A101" t="inlineStr">
        <is>
          <t xml:space="preserve">2026-09-04</t>
        </is>
      </c>
      <c r="B101" t="inlineStr">
        <is>
          <t xml:space="preserve">7R37MH120269-08</t>
        </is>
      </c>
      <c r="C101" t="inlineStr">
        <is>
          <t xml:space="preserve">Connecting 3D genome misfolding to transcriptional silencing in fragile X syndrome</t>
        </is>
      </c>
      <c r="D101" t="inlineStr">
        <is>
          <t xml:space="preserve">Jennifer Elizabeth Phillips-Cremins</t>
        </is>
      </c>
      <c r="E101" t="inlineStr">
        <is>
          <t xml:space="preserve">Jennifer Elizabeth Phillips-Cremins</t>
        </is>
      </c>
      <c r="F101" t="inlineStr">
        <is>
          <t xml:space="preserve">WASHINGTON UNIVERSITY</t>
        </is>
      </c>
      <c r="G101" t="inlineStr">
        <is>
          <t xml:space="preserve">SAINT LOUIS</t>
        </is>
      </c>
      <c r="H101" t="inlineStr">
        <is>
          <t xml:space="preserve">MO</t>
        </is>
      </c>
      <c r="I101" t="inlineStr">
        <is>
          <t xml:space="preserve">NIMH</t>
        </is>
      </c>
      <c r="J101" t="inlineStr">
        <is>
          <t xml:space="preserve">National Institute of Mental Health</t>
        </is>
      </c>
      <c r="K101" t="inlineStr">
        <is>
          <t xml:space="preserve">2026</t>
        </is>
      </c>
      <c r="L101" t="inlineStr">
        <is>
          <t xml:space="preserve">484516</t>
        </is>
      </c>
      <c r="M101" t="inlineStr">
        <is>
          <t xml:space="preserve">2025-11-01</t>
        </is>
      </c>
      <c r="N101" t="inlineStr">
        <is>
          <t xml:space="preserve">2029-01-31</t>
        </is>
      </c>
      <c r="O101" t="inlineStr">
        <is>
          <t xml:space="preserve">Gene therapy</t>
        </is>
      </c>
      <c r="P101" s="3" t="str">
        <f>HYPERLINK("https://reporter.nih.gov/project-details/11445523","https://reporter.nih.gov/project-details/11445523")</f>
        <v>https://reporter.nih.gov/project-details/11445523</v>
      </c>
    </row>
    <row r="102">
      <c r="A102" t="inlineStr">
        <is>
          <t xml:space="preserve">2026-09-04</t>
        </is>
      </c>
      <c r="B102" t="inlineStr">
        <is>
          <t xml:space="preserve">3RF1MH134515-04S1</t>
        </is>
      </c>
      <c r="C102" t="inlineStr">
        <is>
          <t xml:space="preserve">Inhibitory regulation of hippocampal CA3 neuron activity, learning, and memory</t>
        </is>
      </c>
      <c r="D102" t="inlineStr">
        <is>
          <t xml:space="preserve">Megan Elise Williams</t>
        </is>
      </c>
      <c r="E102" t="inlineStr">
        <is>
          <t xml:space="preserve">JAMES Gerard HEYS; Megan Elise Williams</t>
        </is>
      </c>
      <c r="F102" t="inlineStr">
        <is>
          <t xml:space="preserve">UTAH STATE HIGHER EDUCATION SYSTEM--UNIVERSITY OF UTAH</t>
        </is>
      </c>
      <c r="G102" t="inlineStr">
        <is>
          <t xml:space="preserve">SALT LAKE CITY</t>
        </is>
      </c>
      <c r="H102" t="inlineStr">
        <is>
          <t xml:space="preserve">UT</t>
        </is>
      </c>
      <c r="I102" t="inlineStr">
        <is>
          <t xml:space="preserve">NIMH</t>
        </is>
      </c>
      <c r="J102" t="inlineStr">
        <is>
          <t xml:space="preserve">National Institute of Mental Health</t>
        </is>
      </c>
      <c r="K102" t="inlineStr">
        <is>
          <t xml:space="preserve">2026</t>
        </is>
      </c>
      <c r="L102" t="inlineStr">
        <is>
          <t xml:space="preserve">70224</t>
        </is>
      </c>
      <c r="M102" t="inlineStr">
        <is>
          <t xml:space="preserve">2023-06-15</t>
        </is>
      </c>
      <c r="N102" t="inlineStr">
        <is>
          <t xml:space="preserve">2027-03-31</t>
        </is>
      </c>
      <c r="O102" t="inlineStr">
        <is>
          <t xml:space="preserve"/>
        </is>
      </c>
      <c r="P102" s="3" t="str">
        <f>HYPERLINK("https://reporter.nih.gov/project-details/11607169","https://reporter.nih.gov/project-details/11607169")</f>
        <v>https://reporter.nih.gov/project-details/11607169</v>
      </c>
    </row>
    <row r="103">
      <c r="A103" t="inlineStr">
        <is>
          <t xml:space="preserve">2026-09-03</t>
        </is>
      </c>
      <c r="B103" t="inlineStr">
        <is>
          <t xml:space="preserve">1R01HD123217-01</t>
        </is>
      </c>
      <c r="C103" t="inlineStr">
        <is>
          <t xml:space="preserve">Autism-Related Autoantibodies and Immune Dysregulation: Outcomes in Brain and Behavior</t>
        </is>
      </c>
      <c r="D103" t="inlineStr">
        <is>
          <t xml:space="preserve">Joshua Kirk Lee</t>
        </is>
      </c>
      <c r="E103" t="inlineStr">
        <is>
          <t xml:space="preserve">Joshua Kirk Lee</t>
        </is>
      </c>
      <c r="F103" t="inlineStr">
        <is>
          <t xml:space="preserve">UNIVERSITY OF CALIFORNIA AT DAVIS</t>
        </is>
      </c>
      <c r="G103" t="inlineStr">
        <is>
          <t xml:space="preserve">DAVIS</t>
        </is>
      </c>
      <c r="H103" t="inlineStr">
        <is>
          <t xml:space="preserve">CA</t>
        </is>
      </c>
      <c r="I103" t="inlineStr">
        <is>
          <t xml:space="preserve">NICHD</t>
        </is>
      </c>
      <c r="J103" t="inlineStr">
        <is>
          <t xml:space="preserve">Eunice Kennedy Shriver National Institute of Child Health and Human Development</t>
        </is>
      </c>
      <c r="K103" t="inlineStr">
        <is>
          <t xml:space="preserve">2026</t>
        </is>
      </c>
      <c r="L103" t="inlineStr">
        <is>
          <t xml:space="preserve">683451</t>
        </is>
      </c>
      <c r="M103" t="inlineStr">
        <is>
          <t xml:space="preserve">2026-09-01</t>
        </is>
      </c>
      <c r="N103" t="inlineStr">
        <is>
          <t xml:space="preserve">2031-05-31</t>
        </is>
      </c>
      <c r="O103" t="inlineStr">
        <is>
          <t xml:space="preserve">Antibody</t>
        </is>
      </c>
      <c r="P103" s="3" t="str">
        <f>HYPERLINK("https://reporter.nih.gov/project-details/11433976","https://reporter.nih.gov/project-details/11433976")</f>
        <v>https://reporter.nih.gov/project-details/11433976</v>
      </c>
    </row>
    <row r="104">
      <c r="A104" t="inlineStr">
        <is>
          <t xml:space="preserve">2026-09-03</t>
        </is>
      </c>
      <c r="B104" t="inlineStr">
        <is>
          <t xml:space="preserve">4R01MH134897-03</t>
        </is>
      </c>
      <c r="C104" t="inlineStr">
        <is>
          <t xml:space="preserve">Neural circuit mechanisms in observational spatial working memory</t>
        </is>
      </c>
      <c r="D104" t="inlineStr">
        <is>
          <t xml:space="preserve">Daoyun Ji</t>
        </is>
      </c>
      <c r="E104" t="inlineStr">
        <is>
          <t xml:space="preserve">Daoyun Ji</t>
        </is>
      </c>
      <c r="F104" t="inlineStr">
        <is>
          <t xml:space="preserve">BAYLOR COLLEGE OF MEDICINE</t>
        </is>
      </c>
      <c r="G104" t="inlineStr">
        <is>
          <t xml:space="preserve">HOUSTON</t>
        </is>
      </c>
      <c r="H104" t="inlineStr">
        <is>
          <t xml:space="preserve">TX</t>
        </is>
      </c>
      <c r="I104" t="inlineStr">
        <is>
          <t xml:space="preserve">NIMH</t>
        </is>
      </c>
      <c r="J104" t="inlineStr">
        <is>
          <t xml:space="preserve">National Institute of Mental Health</t>
        </is>
      </c>
      <c r="K104" t="inlineStr">
        <is>
          <t xml:space="preserve">2026</t>
        </is>
      </c>
      <c r="L104" t="inlineStr">
        <is>
          <t xml:space="preserve">1513358</t>
        </is>
      </c>
      <c r="M104" t="inlineStr">
        <is>
          <t xml:space="preserve">2024-09-05</t>
        </is>
      </c>
      <c r="N104" t="inlineStr">
        <is>
          <t xml:space="preserve">2029-07-31</t>
        </is>
      </c>
      <c r="O104" t="inlineStr">
        <is>
          <t xml:space="preserve">Behavioral</t>
        </is>
      </c>
      <c r="P104" s="3" t="str">
        <f>HYPERLINK("https://reporter.nih.gov/project-details/11361628","https://reporter.nih.gov/project-details/11361628")</f>
        <v>https://reporter.nih.gov/project-details/11361628</v>
      </c>
    </row>
    <row r="105">
      <c r="A105" t="inlineStr">
        <is>
          <t xml:space="preserve">2026-09-03</t>
        </is>
      </c>
      <c r="B105" t="inlineStr">
        <is>
          <t xml:space="preserve">1K99GM166787-01</t>
        </is>
      </c>
      <c r="C105" t="inlineStr">
        <is>
          <t xml:space="preserve">Spatiotemporal Neuropeptidomics with Isomer-Resolved Mass Spectrometry</t>
        </is>
      </c>
      <c r="D105" t="inlineStr">
        <is>
          <t xml:space="preserve">Timothy Trinklein</t>
        </is>
      </c>
      <c r="E105" t="inlineStr">
        <is>
          <t xml:space="preserve">Timothy Trinklein</t>
        </is>
      </c>
      <c r="F105" t="inlineStr">
        <is>
          <t xml:space="preserve">UNIVERSITY OF ILLINOIS AT URBANA-CHAMPAIGN</t>
        </is>
      </c>
      <c r="G105" t="inlineStr">
        <is>
          <t xml:space="preserve">CHAMPAIGN</t>
        </is>
      </c>
      <c r="H105" t="inlineStr">
        <is>
          <t xml:space="preserve">IL</t>
        </is>
      </c>
      <c r="I105" t="inlineStr">
        <is>
          <t xml:space="preserve">NIGMS</t>
        </is>
      </c>
      <c r="J105" t="inlineStr">
        <is>
          <t xml:space="preserve">National Institute of General Medical Sciences</t>
        </is>
      </c>
      <c r="K105" t="inlineStr">
        <is>
          <t xml:space="preserve">2026</t>
        </is>
      </c>
      <c r="L105" t="inlineStr">
        <is>
          <t xml:space="preserve">113211</t>
        </is>
      </c>
      <c r="M105" t="inlineStr">
        <is>
          <t xml:space="preserve">2026-09-03</t>
        </is>
      </c>
      <c r="N105" t="inlineStr">
        <is>
          <t xml:space="preserve">2028-07-31</t>
        </is>
      </c>
      <c r="O105" t="inlineStr">
        <is>
          <t xml:space="preserve">Peptide</t>
        </is>
      </c>
      <c r="P105" s="3" t="str">
        <f>HYPERLINK("https://reporter.nih.gov/project-details/11436841","https://reporter.nih.gov/project-details/11436841")</f>
        <v>https://reporter.nih.gov/project-details/11436841</v>
      </c>
    </row>
    <row r="106">
      <c r="A106" t="inlineStr">
        <is>
          <t xml:space="preserve">2026-09-03</t>
        </is>
      </c>
      <c r="B106" t="inlineStr">
        <is>
          <t xml:space="preserve">3R01HD118688-01A1S1</t>
        </is>
      </c>
      <c r="C106" t="inlineStr">
        <is>
          <t xml:space="preserve">Intergenerational programming of neurodevelopmental disorders</t>
        </is>
      </c>
      <c r="D106" t="inlineStr">
        <is>
          <t xml:space="preserve">EDUARDO VILLAMOR</t>
        </is>
      </c>
      <c r="E106" t="inlineStr">
        <is>
          <t xml:space="preserve">EDUARDO VILLAMOR</t>
        </is>
      </c>
      <c r="F106" t="inlineStr">
        <is>
          <t xml:space="preserve">UNIVERSITY OF MICHIGAN AT ANN ARBOR</t>
        </is>
      </c>
      <c r="G106" t="inlineStr">
        <is>
          <t xml:space="preserve">ANN ARBOR</t>
        </is>
      </c>
      <c r="H106" t="inlineStr">
        <is>
          <t xml:space="preserve">MI</t>
        </is>
      </c>
      <c r="I106" t="inlineStr">
        <is>
          <t xml:space="preserve">NICHD</t>
        </is>
      </c>
      <c r="J106" t="inlineStr">
        <is>
          <t xml:space="preserve">Eunice Kennedy Shriver National Institute of Child Health and Human Development</t>
        </is>
      </c>
      <c r="K106" t="inlineStr">
        <is>
          <t xml:space="preserve">2026</t>
        </is>
      </c>
      <c r="L106" t="inlineStr">
        <is>
          <t xml:space="preserve">88822</t>
        </is>
      </c>
      <c r="M106" t="inlineStr">
        <is>
          <t xml:space="preserve">2026-08-13</t>
        </is>
      </c>
      <c r="N106" t="inlineStr">
        <is>
          <t xml:space="preserve">2030-07-31</t>
        </is>
      </c>
      <c r="O106" t="inlineStr">
        <is>
          <t xml:space="preserve"/>
        </is>
      </c>
      <c r="P106" s="3" t="str">
        <f>HYPERLINK("https://reporter.nih.gov/project-details/11583822","https://reporter.nih.gov/project-details/11583822")</f>
        <v>https://reporter.nih.gov/project-details/11583822</v>
      </c>
    </row>
    <row r="107">
      <c r="A107" t="inlineStr">
        <is>
          <t xml:space="preserve">2026-09-03</t>
        </is>
      </c>
      <c r="B107" t="inlineStr">
        <is>
          <t xml:space="preserve">1F31HD123619-01</t>
        </is>
      </c>
      <c r="C107" t="inlineStr">
        <is>
          <t xml:space="preserve">Development of tissue derived intestinal organoids as a model system for mechanistic testing in children with autism-associated enterocolitis</t>
        </is>
      </c>
      <c r="D107" t="inlineStr">
        <is>
          <t xml:space="preserve">Yosauri Fernandez Figuereo</t>
        </is>
      </c>
      <c r="E107" t="inlineStr">
        <is>
          <t xml:space="preserve">Yosauri Fernandez Figuereo</t>
        </is>
      </c>
      <c r="F107" t="inlineStr">
        <is>
          <t xml:space="preserve">WAKE FOREST UNIVERSITY HEALTH SCIENCES</t>
        </is>
      </c>
      <c r="G107" t="inlineStr">
        <is>
          <t xml:space="preserve">WINSTON-SALEM</t>
        </is>
      </c>
      <c r="H107" t="inlineStr">
        <is>
          <t xml:space="preserve">NC</t>
        </is>
      </c>
      <c r="I107" t="inlineStr">
        <is>
          <t xml:space="preserve">NICHD</t>
        </is>
      </c>
      <c r="J107" t="inlineStr">
        <is>
          <t xml:space="preserve">Eunice Kennedy Shriver National Institute of Child Health and Human Development</t>
        </is>
      </c>
      <c r="K107" t="inlineStr">
        <is>
          <t xml:space="preserve">2026</t>
        </is>
      </c>
      <c r="L107" t="inlineStr">
        <is>
          <t xml:space="preserve">53114</t>
        </is>
      </c>
      <c r="M107" t="inlineStr">
        <is>
          <t xml:space="preserve">2026-09-01</t>
        </is>
      </c>
      <c r="N107" t="inlineStr">
        <is>
          <t xml:space="preserve">2028-08-31</t>
        </is>
      </c>
      <c r="O107" t="inlineStr">
        <is>
          <t xml:space="preserve">Gene therapy</t>
        </is>
      </c>
      <c r="P107" s="3" t="str">
        <f>HYPERLINK("https://reporter.nih.gov/project-details/11463271","https://reporter.nih.gov/project-details/11463271")</f>
        <v>https://reporter.nih.gov/project-details/11463271</v>
      </c>
    </row>
    <row r="108">
      <c r="A108" t="inlineStr">
        <is>
          <t xml:space="preserve">2026-09-03</t>
        </is>
      </c>
      <c r="B108" t="inlineStr">
        <is>
          <t xml:space="preserve">1K99MH145666-01</t>
        </is>
      </c>
      <c r="C108" t="inlineStr">
        <is>
          <t xml:space="preserve">Imaging and Perturbing Cortical Network Dysregulation During Social Behavior in Autism Spectrum Disorder</t>
        </is>
      </c>
      <c r="D108" t="inlineStr">
        <is>
          <t xml:space="preserve">Alexander Dillon White</t>
        </is>
      </c>
      <c r="E108" t="inlineStr">
        <is>
          <t xml:space="preserve">Alexander Dillon White</t>
        </is>
      </c>
      <c r="F108" t="inlineStr">
        <is>
          <t xml:space="preserve">STANFORD UNIVERSITY</t>
        </is>
      </c>
      <c r="G108" t="inlineStr">
        <is>
          <t xml:space="preserve">STANFORD</t>
        </is>
      </c>
      <c r="H108" t="inlineStr">
        <is>
          <t xml:space="preserve">CA</t>
        </is>
      </c>
      <c r="I108" t="inlineStr">
        <is>
          <t xml:space="preserve">NIMH</t>
        </is>
      </c>
      <c r="J108" t="inlineStr">
        <is>
          <t xml:space="preserve">National Institute of Mental Health</t>
        </is>
      </c>
      <c r="K108" t="inlineStr">
        <is>
          <t xml:space="preserve">2026</t>
        </is>
      </c>
      <c r="L108" t="inlineStr">
        <is>
          <t xml:space="preserve">128524</t>
        </is>
      </c>
      <c r="M108" t="inlineStr">
        <is>
          <t xml:space="preserve">2026-09-01</t>
        </is>
      </c>
      <c r="N108" t="inlineStr">
        <is>
          <t xml:space="preserve">2028-08-31</t>
        </is>
      </c>
      <c r="O108" t="inlineStr">
        <is>
          <t xml:space="preserve">Small molecule, Device / stimulation</t>
        </is>
      </c>
      <c r="P108" s="3" t="str">
        <f>HYPERLINK("https://reporter.nih.gov/project-details/11436589","https://reporter.nih.gov/project-details/11436589")</f>
        <v>https://reporter.nih.gov/project-details/11436589</v>
      </c>
    </row>
    <row r="109">
      <c r="A109" t="inlineStr">
        <is>
          <t xml:space="preserve">2026-09-03</t>
        </is>
      </c>
      <c r="B109" t="inlineStr">
        <is>
          <t xml:space="preserve">4DP2MH136588-03</t>
        </is>
      </c>
      <c r="C109" t="inlineStr">
        <is>
          <t xml:space="preserve">Activity-dependent probes for spatially-defined proteomics</t>
        </is>
      </c>
      <c r="D109" t="inlineStr">
        <is>
          <t xml:space="preserve">Christina Kim</t>
        </is>
      </c>
      <c r="E109" t="inlineStr">
        <is>
          <t xml:space="preserve">Christina Kim</t>
        </is>
      </c>
      <c r="F109" t="inlineStr">
        <is>
          <t xml:space="preserve">PRINCETON UNIVERSITY</t>
        </is>
      </c>
      <c r="G109" t="inlineStr">
        <is>
          <t xml:space="preserve">Princeton</t>
        </is>
      </c>
      <c r="H109" t="inlineStr">
        <is>
          <t xml:space="preserve">NJ</t>
        </is>
      </c>
      <c r="I109" t="inlineStr">
        <is>
          <t xml:space="preserve">NIMH</t>
        </is>
      </c>
      <c r="J109" t="inlineStr">
        <is>
          <t xml:space="preserve">National Institute of Mental Health</t>
        </is>
      </c>
      <c r="K109" t="inlineStr">
        <is>
          <t xml:space="preserve">2026</t>
        </is>
      </c>
      <c r="L109" t="inlineStr">
        <is>
          <t xml:space="preserve">984000</t>
        </is>
      </c>
      <c r="M109" t="inlineStr">
        <is>
          <t xml:space="preserve">2023-09-01</t>
        </is>
      </c>
      <c r="N109" t="inlineStr">
        <is>
          <t xml:space="preserve">2028-08-31</t>
        </is>
      </c>
      <c r="O109" t="inlineStr">
        <is>
          <t xml:space="preserve">Small molecule</t>
        </is>
      </c>
      <c r="P109" s="3" t="str">
        <f>HYPERLINK("https://reporter.nih.gov/project-details/11062768","https://reporter.nih.gov/project-details/11062768")</f>
        <v>https://reporter.nih.gov/project-details/11062768</v>
      </c>
    </row>
    <row r="110">
      <c r="A110" t="inlineStr">
        <is>
          <t xml:space="preserve">2026-09-03</t>
        </is>
      </c>
      <c r="B110" t="inlineStr">
        <is>
          <t xml:space="preserve">5R01MH139134-03</t>
        </is>
      </c>
      <c r="C110" t="inlineStr">
        <is>
          <t xml:space="preserve">SCH: Personalized AI-Driven Models for Supporting User Engagement and Adherence in Health Interventions: Validation in Cognitive Behavioral Therapy for Anxiety</t>
        </is>
      </c>
      <c r="D110" t="inlineStr">
        <is>
          <t xml:space="preserve">Maja J Mataric</t>
        </is>
      </c>
      <c r="E110" t="inlineStr">
        <is>
          <t xml:space="preserve">Maja J Mataric</t>
        </is>
      </c>
      <c r="F110" t="inlineStr">
        <is>
          <t xml:space="preserve">UNIVERSITY OF SOUTHERN CALIFORNIA</t>
        </is>
      </c>
      <c r="G110" t="inlineStr">
        <is>
          <t xml:space="preserve">Los Angeles</t>
        </is>
      </c>
      <c r="H110" t="inlineStr">
        <is>
          <t xml:space="preserve">CA</t>
        </is>
      </c>
      <c r="I110" t="inlineStr">
        <is>
          <t xml:space="preserve">NIMH</t>
        </is>
      </c>
      <c r="J110" t="inlineStr">
        <is>
          <t xml:space="preserve">National Institute of Mental Health</t>
        </is>
      </c>
      <c r="K110" t="inlineStr">
        <is>
          <t xml:space="preserve">2026</t>
        </is>
      </c>
      <c r="L110" t="inlineStr">
        <is>
          <t xml:space="preserve">292419</t>
        </is>
      </c>
      <c r="M110" t="inlineStr">
        <is>
          <t xml:space="preserve">2024-08-01</t>
        </is>
      </c>
      <c r="N110" t="inlineStr">
        <is>
          <t xml:space="preserve">2028-07-31</t>
        </is>
      </c>
      <c r="O110" t="inlineStr">
        <is>
          <t xml:space="preserve">Device / stimulation, Behavioral</t>
        </is>
      </c>
      <c r="P110" s="3" t="str">
        <f>HYPERLINK("https://reporter.nih.gov/project-details/11372285","https://reporter.nih.gov/project-details/11372285")</f>
        <v>https://reporter.nih.gov/project-details/11372285</v>
      </c>
    </row>
    <row r="111">
      <c r="A111" t="inlineStr">
        <is>
          <t xml:space="preserve">2026-09-03</t>
        </is>
      </c>
      <c r="B111" t="inlineStr">
        <is>
          <t xml:space="preserve">5R01MH128344-05</t>
        </is>
      </c>
      <c r="C111" t="inlineStr">
        <is>
          <t xml:space="preserve">Neuronal mechanisms of novelty seeking</t>
        </is>
      </c>
      <c r="D111" t="inlineStr">
        <is>
          <t xml:space="preserve">Ilya E. Monosov</t>
        </is>
      </c>
      <c r="E111" t="inlineStr">
        <is>
          <t xml:space="preserve">Ilya E. Monosov</t>
        </is>
      </c>
      <c r="F111" t="inlineStr">
        <is>
          <t xml:space="preserve">JOHNS HOPKINS UNIVERSITY</t>
        </is>
      </c>
      <c r="G111" t="inlineStr">
        <is>
          <t xml:space="preserve">BALTIMORE</t>
        </is>
      </c>
      <c r="H111" t="inlineStr">
        <is>
          <t xml:space="preserve">MD</t>
        </is>
      </c>
      <c r="I111" t="inlineStr">
        <is>
          <t xml:space="preserve">NIMH</t>
        </is>
      </c>
      <c r="J111" t="inlineStr">
        <is>
          <t xml:space="preserve">National Institute of Mental Health</t>
        </is>
      </c>
      <c r="K111" t="inlineStr">
        <is>
          <t xml:space="preserve">2026</t>
        </is>
      </c>
      <c r="L111" t="inlineStr">
        <is>
          <t xml:space="preserve">388750</t>
        </is>
      </c>
      <c r="M111" t="inlineStr">
        <is>
          <t xml:space="preserve">2022-08-23</t>
        </is>
      </c>
      <c r="N111" t="inlineStr">
        <is>
          <t xml:space="preserve">2027-06-30</t>
        </is>
      </c>
      <c r="O111" t="inlineStr">
        <is>
          <t xml:space="preserve"/>
        </is>
      </c>
      <c r="P111" s="3" t="str">
        <f>HYPERLINK("https://reporter.nih.gov/project-details/11412659","https://reporter.nih.gov/project-details/11412659")</f>
        <v>https://reporter.nih.gov/project-details/11412659</v>
      </c>
    </row>
    <row r="112">
      <c r="A112" t="inlineStr">
        <is>
          <t xml:space="preserve">2026-09-03</t>
        </is>
      </c>
      <c r="B112" t="inlineStr">
        <is>
          <t xml:space="preserve">3R01NS131223-04S1</t>
        </is>
      </c>
      <c r="C112" t="inlineStr">
        <is>
          <t xml:space="preserve">The role of NPRL2 loss in focal cortical dysplasia</t>
        </is>
      </c>
      <c r="D112" t="inlineStr">
        <is>
          <t xml:space="preserve">Philip Henry Iffland</t>
        </is>
      </c>
      <c r="E112" t="inlineStr">
        <is>
          <t xml:space="preserve">Philip Henry Iffland</t>
        </is>
      </c>
      <c r="F112" t="inlineStr">
        <is>
          <t xml:space="preserve">UNIVERSITY OF MARYLAND BALTIMORE</t>
        </is>
      </c>
      <c r="G112" t="inlineStr">
        <is>
          <t xml:space="preserve">BALTIMORE</t>
        </is>
      </c>
      <c r="H112" t="inlineStr">
        <is>
          <t xml:space="preserve">MD</t>
        </is>
      </c>
      <c r="I112" t="inlineStr">
        <is>
          <t xml:space="preserve">NINDS</t>
        </is>
      </c>
      <c r="J112" t="inlineStr">
        <is>
          <t xml:space="preserve">National Institute of Neurological Disorders and Stroke</t>
        </is>
      </c>
      <c r="K112" t="inlineStr">
        <is>
          <t xml:space="preserve">2026</t>
        </is>
      </c>
      <c r="L112" t="inlineStr">
        <is>
          <t xml:space="preserve">46726</t>
        </is>
      </c>
      <c r="M112" t="inlineStr">
        <is>
          <t xml:space="preserve">2023-04-15</t>
        </is>
      </c>
      <c r="N112" t="inlineStr">
        <is>
          <t xml:space="preserve">2028-03-31</t>
        </is>
      </c>
      <c r="O112" t="inlineStr">
        <is>
          <t xml:space="preserve">Gene therapy, Small molecule</t>
        </is>
      </c>
      <c r="P112" s="3" t="str">
        <f>HYPERLINK("https://reporter.nih.gov/project-details/11617796","https://reporter.nih.gov/project-details/11617796")</f>
        <v>https://reporter.nih.gov/project-details/11617796</v>
      </c>
    </row>
    <row r="113">
      <c r="A113" t="inlineStr">
        <is>
          <t xml:space="preserve">2026-09-03</t>
        </is>
      </c>
      <c r="B113" t="inlineStr">
        <is>
          <t xml:space="preserve">5R00MH127471-04</t>
        </is>
      </c>
      <c r="C113" t="inlineStr">
        <is>
          <t xml:space="preserve">Distributed Neural Activity Patterns Underlying Practice-Based Learning</t>
        </is>
      </c>
      <c r="D113" t="inlineStr">
        <is>
          <t xml:space="preserve">Kimberly Reinhold</t>
        </is>
      </c>
      <c r="E113" t="inlineStr">
        <is>
          <t xml:space="preserve">Kimberly Reinhold</t>
        </is>
      </c>
      <c r="F113" t="inlineStr">
        <is>
          <t xml:space="preserve">MASSACHUSETTS EYE AND EAR INFIRMARY</t>
        </is>
      </c>
      <c r="G113" t="inlineStr">
        <is>
          <t xml:space="preserve">BOSTON</t>
        </is>
      </c>
      <c r="H113" t="inlineStr">
        <is>
          <t xml:space="preserve">MA</t>
        </is>
      </c>
      <c r="I113" t="inlineStr">
        <is>
          <t xml:space="preserve">NIMH</t>
        </is>
      </c>
      <c r="J113" t="inlineStr">
        <is>
          <t xml:space="preserve">National Institute of Mental Health</t>
        </is>
      </c>
      <c r="K113" t="inlineStr">
        <is>
          <t xml:space="preserve">2026</t>
        </is>
      </c>
      <c r="L113" t="inlineStr">
        <is>
          <t xml:space="preserve">220914</t>
        </is>
      </c>
      <c r="M113" t="inlineStr">
        <is>
          <t xml:space="preserve">2022-04-01</t>
        </is>
      </c>
      <c r="N113" t="inlineStr">
        <is>
          <t xml:space="preserve">2028-08-31</t>
        </is>
      </c>
      <c r="O113" t="inlineStr">
        <is>
          <t xml:space="preserve"/>
        </is>
      </c>
      <c r="P113" s="3" t="str">
        <f>HYPERLINK("https://reporter.nih.gov/project-details/11419610","https://reporter.nih.gov/project-details/11419610")</f>
        <v>https://reporter.nih.gov/project-details/11419610</v>
      </c>
    </row>
    <row r="114">
      <c r="A114" t="inlineStr">
        <is>
          <t xml:space="preserve">2026-09-03</t>
        </is>
      </c>
      <c r="B114" t="inlineStr">
        <is>
          <t xml:space="preserve">5R44MH122028-05</t>
        </is>
      </c>
      <c r="C114" t="inlineStr">
        <is>
          <t xml:space="preserve">Next Generation Pediatric Neuroimaging (NGPN) Development</t>
        </is>
      </c>
      <c r="D114" t="inlineStr">
        <is>
          <t xml:space="preserve">Curtis Andrew Corum</t>
        </is>
      </c>
      <c r="E114" t="inlineStr">
        <is>
          <t xml:space="preserve">Curtis Andrew Corum</t>
        </is>
      </c>
      <c r="F114" t="inlineStr">
        <is>
          <t xml:space="preserve">CHAMPAIGN IMAGING, LLC</t>
        </is>
      </c>
      <c r="G114" t="inlineStr">
        <is>
          <t xml:space="preserve">Shoreview</t>
        </is>
      </c>
      <c r="H114" t="inlineStr">
        <is>
          <t xml:space="preserve">MN</t>
        </is>
      </c>
      <c r="I114" t="inlineStr">
        <is>
          <t xml:space="preserve">NIMH</t>
        </is>
      </c>
      <c r="J114" t="inlineStr">
        <is>
          <t xml:space="preserve">National Institute of Mental Health</t>
        </is>
      </c>
      <c r="K114" t="inlineStr">
        <is>
          <t xml:space="preserve">2026</t>
        </is>
      </c>
      <c r="L114" t="inlineStr">
        <is>
          <t xml:space="preserve">1580718</t>
        </is>
      </c>
      <c r="M114" t="inlineStr">
        <is>
          <t xml:space="preserve">2020-05-01</t>
        </is>
      </c>
      <c r="N114" t="inlineStr">
        <is>
          <t xml:space="preserve">2027-07-31</t>
        </is>
      </c>
      <c r="O114" t="inlineStr">
        <is>
          <t xml:space="preserve">Device / stimulation</t>
        </is>
      </c>
      <c r="P114" s="3" t="str">
        <f>HYPERLINK("https://reporter.nih.gov/project-details/11387527","https://reporter.nih.gov/project-details/11387527")</f>
        <v>https://reporter.nih.gov/project-details/11387527</v>
      </c>
    </row>
    <row r="115">
      <c r="A115" t="inlineStr">
        <is>
          <t xml:space="preserve">2026-09-03</t>
        </is>
      </c>
      <c r="B115" t="inlineStr">
        <is>
          <t xml:space="preserve">1R01HD120347-01A1</t>
        </is>
      </c>
      <c r="C115" t="inlineStr">
        <is>
          <t xml:space="preserve">Molecular mechanisms underlying synaptic deficiency in Down syndrome</t>
        </is>
      </c>
      <c r="D115" t="inlineStr">
        <is>
          <t xml:space="preserve">Andre M. M. Sousa</t>
        </is>
      </c>
      <c r="E115" t="inlineStr">
        <is>
          <t xml:space="preserve">Andre M. M. Sousa</t>
        </is>
      </c>
      <c r="F115" t="inlineStr">
        <is>
          <t xml:space="preserve">UNIVERSITY OF WISCONSIN-MADISON</t>
        </is>
      </c>
      <c r="G115" t="inlineStr">
        <is>
          <t xml:space="preserve">MADISON</t>
        </is>
      </c>
      <c r="H115" t="inlineStr">
        <is>
          <t xml:space="preserve">WI</t>
        </is>
      </c>
      <c r="I115" t="inlineStr">
        <is>
          <t xml:space="preserve">NICHD</t>
        </is>
      </c>
      <c r="J115" t="inlineStr">
        <is>
          <t xml:space="preserve">Eunice Kennedy Shriver National Institute of Child Health and Human Development</t>
        </is>
      </c>
      <c r="K115" t="inlineStr">
        <is>
          <t xml:space="preserve">2026</t>
        </is>
      </c>
      <c r="L115" t="inlineStr">
        <is>
          <t xml:space="preserve">568615</t>
        </is>
      </c>
      <c r="M115" t="inlineStr">
        <is>
          <t xml:space="preserve">2026-09-02</t>
        </is>
      </c>
      <c r="N115" t="inlineStr">
        <is>
          <t xml:space="preserve">2031-04-30</t>
        </is>
      </c>
      <c r="O115" t="inlineStr">
        <is>
          <t xml:space="preserve">Small molecule</t>
        </is>
      </c>
      <c r="P115" s="3" t="str">
        <f>HYPERLINK("https://reporter.nih.gov/project-details/11447396","https://reporter.nih.gov/project-details/11447396")</f>
        <v>https://reporter.nih.gov/project-details/11447396</v>
      </c>
    </row>
    <row r="116">
      <c r="A116" t="inlineStr">
        <is>
          <t xml:space="preserve">2026-09-03</t>
        </is>
      </c>
      <c r="B116" t="inlineStr">
        <is>
          <t xml:space="preserve">1R15NS153291-01</t>
        </is>
      </c>
      <c r="C116" t="inlineStr">
        <is>
          <t xml:space="preserve">Tsc1 Regulation of the Purkinje Neuron Axon Initial Segment and Cerebellar Function</t>
        </is>
      </c>
      <c r="D116" t="inlineStr">
        <is>
          <t xml:space="preserve">Joseph L. Ransdell</t>
        </is>
      </c>
      <c r="E116" t="inlineStr">
        <is>
          <t xml:space="preserve">Joseph L. Ransdell</t>
        </is>
      </c>
      <c r="F116" t="inlineStr">
        <is>
          <t xml:space="preserve">MIAMI UNIVERSITY OXFORD</t>
        </is>
      </c>
      <c r="G116" t="inlineStr">
        <is>
          <t xml:space="preserve">OXFORD</t>
        </is>
      </c>
      <c r="H116" t="inlineStr">
        <is>
          <t xml:space="preserve">OH</t>
        </is>
      </c>
      <c r="I116" t="inlineStr">
        <is>
          <t xml:space="preserve">NINDS</t>
        </is>
      </c>
      <c r="J116" t="inlineStr">
        <is>
          <t xml:space="preserve">National Institute of Neurological Disorders and Stroke</t>
        </is>
      </c>
      <c r="K116" t="inlineStr">
        <is>
          <t xml:space="preserve">2026</t>
        </is>
      </c>
      <c r="L116" t="inlineStr">
        <is>
          <t xml:space="preserve">539920</t>
        </is>
      </c>
      <c r="M116" t="inlineStr">
        <is>
          <t xml:space="preserve">2026-09-05</t>
        </is>
      </c>
      <c r="N116" t="inlineStr">
        <is>
          <t xml:space="preserve">2029-08-31</t>
        </is>
      </c>
      <c r="O116" t="inlineStr">
        <is>
          <t xml:space="preserve">Small molecule</t>
        </is>
      </c>
      <c r="P116" s="3" t="str">
        <f>HYPERLINK("https://reporter.nih.gov/project-details/11505146","https://reporter.nih.gov/project-details/11505146")</f>
        <v>https://reporter.nih.gov/project-details/11505146</v>
      </c>
    </row>
    <row r="117">
      <c r="A117" t="inlineStr">
        <is>
          <t xml:space="preserve">2026-09-03</t>
        </is>
      </c>
      <c r="B117" t="inlineStr">
        <is>
          <t xml:space="preserve">5K99MH137253-02</t>
        </is>
      </c>
      <c r="C117" t="inlineStr">
        <is>
          <t xml:space="preserve">Mapping Genotype to Developmental Course Across an Autism-Schizophrenia Gradient</t>
        </is>
      </c>
      <c r="D117" t="inlineStr">
        <is>
          <t xml:space="preserve">Szu-Yu Susan Kuo</t>
        </is>
      </c>
      <c r="E117" t="inlineStr">
        <is>
          <t xml:space="preserve">Szu-Yu Susan Kuo</t>
        </is>
      </c>
      <c r="F117" t="inlineStr">
        <is>
          <t xml:space="preserve">MASSACHUSETTS GENERAL HOSPITAL</t>
        </is>
      </c>
      <c r="G117" t="inlineStr">
        <is>
          <t xml:space="preserve">BOSTON</t>
        </is>
      </c>
      <c r="H117" t="inlineStr">
        <is>
          <t xml:space="preserve">MA</t>
        </is>
      </c>
      <c r="I117" t="inlineStr">
        <is>
          <t xml:space="preserve">NIMH</t>
        </is>
      </c>
      <c r="J117" t="inlineStr">
        <is>
          <t xml:space="preserve">National Institute of Mental Health</t>
        </is>
      </c>
      <c r="K117" t="inlineStr">
        <is>
          <t xml:space="preserve">2026</t>
        </is>
      </c>
      <c r="L117" t="inlineStr">
        <is>
          <t xml:space="preserve">129232</t>
        </is>
      </c>
      <c r="M117" t="inlineStr">
        <is>
          <t xml:space="preserve">2025-08-22</t>
        </is>
      </c>
      <c r="N117" t="inlineStr">
        <is>
          <t xml:space="preserve">2027-07-31</t>
        </is>
      </c>
      <c r="O117" t="inlineStr">
        <is>
          <t xml:space="preserve">Small molecule</t>
        </is>
      </c>
      <c r="P117" s="3" t="str">
        <f>HYPERLINK("https://reporter.nih.gov/project-details/11399136","https://reporter.nih.gov/project-details/11399136")</f>
        <v>https://reporter.nih.gov/project-details/11399136</v>
      </c>
    </row>
    <row r="118">
      <c r="A118" t="inlineStr">
        <is>
          <t xml:space="preserve">2026-09-03</t>
        </is>
      </c>
      <c r="B118" t="inlineStr">
        <is>
          <t xml:space="preserve">3P50HD103537-05S2</t>
        </is>
      </c>
      <c r="C118" t="inlineStr">
        <is>
          <t xml:space="preserve">Eunice Kennedy Shriver Intellectual and Developmental Disabilities Research Center at Vanderbilt</t>
        </is>
      </c>
      <c r="D118" t="inlineStr">
        <is>
          <t xml:space="preserve">Jeffrey L Neul</t>
        </is>
      </c>
      <c r="E118" t="inlineStr">
        <is>
          <t xml:space="preserve">Jeffrey L Neul</t>
        </is>
      </c>
      <c r="F118" t="inlineStr">
        <is>
          <t xml:space="preserve">VANDERBILT UNIVERSITY MEDICAL CENTER</t>
        </is>
      </c>
      <c r="G118" t="inlineStr">
        <is>
          <t xml:space="preserve">NASHVILLE</t>
        </is>
      </c>
      <c r="H118" t="inlineStr">
        <is>
          <t xml:space="preserve">TN</t>
        </is>
      </c>
      <c r="I118" t="inlineStr">
        <is>
          <t xml:space="preserve">NICHD</t>
        </is>
      </c>
      <c r="J118" t="inlineStr">
        <is>
          <t xml:space="preserve">Eunice Kennedy Shriver National Institute of Child Health and Human Development</t>
        </is>
      </c>
      <c r="K118" t="inlineStr">
        <is>
          <t xml:space="preserve">2026</t>
        </is>
      </c>
      <c r="L118" t="inlineStr">
        <is>
          <t xml:space="preserve">1150489</t>
        </is>
      </c>
      <c r="M118" t="inlineStr">
        <is>
          <t xml:space="preserve">2026-09-10</t>
        </is>
      </c>
      <c r="N118" t="inlineStr">
        <is>
          <t xml:space="preserve">2027-05-31</t>
        </is>
      </c>
      <c r="O118" t="inlineStr">
        <is>
          <t xml:space="preserve">Small molecule</t>
        </is>
      </c>
      <c r="P118" s="3" t="str">
        <f>HYPERLINK("https://reporter.nih.gov/project-details/11521254","https://reporter.nih.gov/project-details/11521254")</f>
        <v>https://reporter.nih.gov/project-details/11521254</v>
      </c>
    </row>
    <row r="119">
      <c r="A119" t="inlineStr">
        <is>
          <t xml:space="preserve">2026-09-03</t>
        </is>
      </c>
      <c r="B119" t="inlineStr">
        <is>
          <t xml:space="preserve">1R13AT013978-01</t>
        </is>
      </c>
      <c r="C119" t="inlineStr">
        <is>
          <t xml:space="preserve">Sensory Systems: Interoception and Exteroception</t>
        </is>
      </c>
      <c r="D119" t="inlineStr">
        <is>
          <t xml:space="preserve">TERRY L. SHEPPARD</t>
        </is>
      </c>
      <c r="E119" t="inlineStr">
        <is>
          <t xml:space="preserve">TERRY L. SHEPPARD</t>
        </is>
      </c>
      <c r="F119" t="inlineStr">
        <is>
          <t xml:space="preserve">KEYSTONE SYMPOSIA</t>
        </is>
      </c>
      <c r="G119" t="inlineStr">
        <is>
          <t xml:space="preserve">SILVERTHORNE</t>
        </is>
      </c>
      <c r="H119" t="inlineStr">
        <is>
          <t xml:space="preserve">CO</t>
        </is>
      </c>
      <c r="I119" t="inlineStr">
        <is>
          <t xml:space="preserve">NCCIH</t>
        </is>
      </c>
      <c r="J119" t="inlineStr">
        <is>
          <t xml:space="preserve">National Center for Complementary and Integrative Health</t>
        </is>
      </c>
      <c r="K119" t="inlineStr">
        <is>
          <t xml:space="preserve">2026</t>
        </is>
      </c>
      <c r="L119" t="inlineStr">
        <is>
          <t xml:space="preserve">20200</t>
        </is>
      </c>
      <c r="M119" t="inlineStr">
        <is>
          <t xml:space="preserve">2026-09-01</t>
        </is>
      </c>
      <c r="N119" t="inlineStr">
        <is>
          <t xml:space="preserve">2027-08-31</t>
        </is>
      </c>
      <c r="O119" t="inlineStr">
        <is>
          <t xml:space="preserve">Small molecule</t>
        </is>
      </c>
      <c r="P119" s="3" t="str">
        <f>HYPERLINK("https://reporter.nih.gov/project-details/11466192","https://reporter.nih.gov/project-details/11466192")</f>
        <v>https://reporter.nih.gov/project-details/11466192</v>
      </c>
    </row>
    <row r="120">
      <c r="A120" t="inlineStr">
        <is>
          <t xml:space="preserve">2026-09-03</t>
        </is>
      </c>
      <c r="B120" t="inlineStr">
        <is>
          <t xml:space="preserve">3R01NS107428-08S1</t>
        </is>
      </c>
      <c r="C120" t="inlineStr">
        <is>
          <t xml:space="preserve">Genetics and Functional Studies of Autosomal Recessive Neurological Disorders</t>
        </is>
      </c>
      <c r="D120" t="inlineStr">
        <is>
          <t xml:space="preserve">Saima Riazuddin</t>
        </is>
      </c>
      <c r="E120" t="inlineStr">
        <is>
          <t xml:space="preserve">Saima Riazuddin</t>
        </is>
      </c>
      <c r="F120" t="inlineStr">
        <is>
          <t xml:space="preserve">UNIVERSITY OF MARYLAND BALTIMORE</t>
        </is>
      </c>
      <c r="G120" t="inlineStr">
        <is>
          <t xml:space="preserve">BALTIMORE</t>
        </is>
      </c>
      <c r="H120" t="inlineStr">
        <is>
          <t xml:space="preserve">MD</t>
        </is>
      </c>
      <c r="I120" t="inlineStr">
        <is>
          <t xml:space="preserve">NINDS</t>
        </is>
      </c>
      <c r="J120" t="inlineStr">
        <is>
          <t xml:space="preserve">National Institute of Neurological Disorders and Stroke</t>
        </is>
      </c>
      <c r="K120" t="inlineStr">
        <is>
          <t xml:space="preserve">2026</t>
        </is>
      </c>
      <c r="L120" t="inlineStr">
        <is>
          <t xml:space="preserve">52467</t>
        </is>
      </c>
      <c r="M120" t="inlineStr">
        <is>
          <t xml:space="preserve">2018-07-01</t>
        </is>
      </c>
      <c r="N120" t="inlineStr">
        <is>
          <t xml:space="preserve">2029-06-30</t>
        </is>
      </c>
      <c r="O120" t="inlineStr">
        <is>
          <t xml:space="preserve">Gene therapy, Small molecule</t>
        </is>
      </c>
      <c r="P120" s="3" t="str">
        <f>HYPERLINK("https://reporter.nih.gov/project-details/11594180","https://reporter.nih.gov/project-details/11594180")</f>
        <v>https://reporter.nih.gov/project-details/11594180</v>
      </c>
    </row>
    <row r="121">
      <c r="A121" t="inlineStr">
        <is>
          <t xml:space="preserve">2026-09-02</t>
        </is>
      </c>
      <c r="B121" t="inlineStr">
        <is>
          <t xml:space="preserve">1K99EY038313-01A1</t>
        </is>
      </c>
      <c r="C121" t="inlineStr">
        <is>
          <t xml:space="preserve">Characterizing learning-induced remodeling of cortical circuitry and computation during the critical period</t>
        </is>
      </c>
      <c r="D121" t="inlineStr">
        <is>
          <t xml:space="preserve">Diane Bissen</t>
        </is>
      </c>
      <c r="E121" t="inlineStr">
        <is>
          <t xml:space="preserve">Diane Bissen</t>
        </is>
      </c>
      <c r="F121" t="inlineStr">
        <is>
          <t xml:space="preserve">BRANDEIS UNIVERSITY</t>
        </is>
      </c>
      <c r="G121" t="inlineStr">
        <is>
          <t xml:space="preserve">WALTHAM</t>
        </is>
      </c>
      <c r="H121" t="inlineStr">
        <is>
          <t xml:space="preserve">MA</t>
        </is>
      </c>
      <c r="I121" t="inlineStr">
        <is>
          <t xml:space="preserve">NEI</t>
        </is>
      </c>
      <c r="J121" t="inlineStr">
        <is>
          <t xml:space="preserve">National Eye Institute</t>
        </is>
      </c>
      <c r="K121" t="inlineStr">
        <is>
          <t xml:space="preserve">2026</t>
        </is>
      </c>
      <c r="L121" t="inlineStr">
        <is>
          <t xml:space="preserve">118014</t>
        </is>
      </c>
      <c r="M121" t="inlineStr">
        <is>
          <t xml:space="preserve">2026-09-01</t>
        </is>
      </c>
      <c r="N121" t="inlineStr">
        <is>
          <t xml:space="preserve">2028-08-31</t>
        </is>
      </c>
      <c r="O121" t="inlineStr">
        <is>
          <t xml:space="preserve"/>
        </is>
      </c>
      <c r="P121" s="3" t="str">
        <f>HYPERLINK("https://reporter.nih.gov/project-details/11451818","https://reporter.nih.gov/project-details/11451818")</f>
        <v>https://reporter.nih.gov/project-details/11451818</v>
      </c>
    </row>
    <row r="122">
      <c r="A122" t="inlineStr">
        <is>
          <t xml:space="preserve">2026-09-02</t>
        </is>
      </c>
      <c r="B122" t="inlineStr">
        <is>
          <t xml:space="preserve">2R01MH124977-06</t>
        </is>
      </c>
      <c r="C122" t="inlineStr">
        <is>
          <t xml:space="preserve">Longitudinal development of sensory reactivity and regulation predicting transition to independence in autism</t>
        </is>
      </c>
      <c r="D122" t="inlineStr">
        <is>
          <t xml:space="preserve">Shulamite Abra Green</t>
        </is>
      </c>
      <c r="E122" t="inlineStr">
        <is>
          <t xml:space="preserve">Shulamite Abra Green</t>
        </is>
      </c>
      <c r="F122" t="inlineStr">
        <is>
          <t xml:space="preserve">UNIVERSITY OF CALIFORNIA LOS ANGELES</t>
        </is>
      </c>
      <c r="G122" t="inlineStr">
        <is>
          <t xml:space="preserve">LOS ANGELES</t>
        </is>
      </c>
      <c r="H122" t="inlineStr">
        <is>
          <t xml:space="preserve">CA</t>
        </is>
      </c>
      <c r="I122" t="inlineStr">
        <is>
          <t xml:space="preserve">NIMH</t>
        </is>
      </c>
      <c r="J122" t="inlineStr">
        <is>
          <t xml:space="preserve">National Institute of Mental Health</t>
        </is>
      </c>
      <c r="K122" t="inlineStr">
        <is>
          <t xml:space="preserve">2026</t>
        </is>
      </c>
      <c r="L122" t="inlineStr">
        <is>
          <t xml:space="preserve">787442</t>
        </is>
      </c>
      <c r="M122" t="inlineStr">
        <is>
          <t xml:space="preserve">2021-04-01</t>
        </is>
      </c>
      <c r="N122" t="inlineStr">
        <is>
          <t xml:space="preserve">2031-05-31</t>
        </is>
      </c>
      <c r="O122" t="inlineStr">
        <is>
          <t xml:space="preserve">Device / stimulation, Behavioral</t>
        </is>
      </c>
      <c r="P122" s="3" t="str">
        <f>HYPERLINK("https://reporter.nih.gov/project-details/11360794","https://reporter.nih.gov/project-details/11360794")</f>
        <v>https://reporter.nih.gov/project-details/11360794</v>
      </c>
    </row>
    <row r="123">
      <c r="A123" t="inlineStr">
        <is>
          <t xml:space="preserve">2026-09-02</t>
        </is>
      </c>
      <c r="B123" t="inlineStr">
        <is>
          <t xml:space="preserve">3U19NS107616-09S1</t>
        </is>
      </c>
      <c r="C123" t="inlineStr">
        <is>
          <t xml:space="preserve">Oxytocin Modulation of Neural Circuit Function and Behavior</t>
        </is>
      </c>
      <c r="D123" t="inlineStr">
        <is>
          <t xml:space="preserve">RICHARD W TSIEN</t>
        </is>
      </c>
      <c r="E123" t="inlineStr">
        <is>
          <t xml:space="preserve">RICHARD W TSIEN</t>
        </is>
      </c>
      <c r="F123" t="inlineStr">
        <is>
          <t xml:space="preserve">NEW YORK UNIVERSITY SCHOOL OF MEDICINE</t>
        </is>
      </c>
      <c r="G123" t="inlineStr">
        <is>
          <t xml:space="preserve">NEW YORK</t>
        </is>
      </c>
      <c r="H123" t="inlineStr">
        <is>
          <t xml:space="preserve">NY</t>
        </is>
      </c>
      <c r="I123" t="inlineStr">
        <is>
          <t xml:space="preserve">NINDS</t>
        </is>
      </c>
      <c r="J123" t="inlineStr">
        <is>
          <t xml:space="preserve">National Institute of Neurological Disorders and Stroke</t>
        </is>
      </c>
      <c r="K123" t="inlineStr">
        <is>
          <t xml:space="preserve">2026</t>
        </is>
      </c>
      <c r="L123" t="inlineStr">
        <is>
          <t xml:space="preserve">34470</t>
        </is>
      </c>
      <c r="M123" t="inlineStr">
        <is>
          <t xml:space="preserve">2018-09-15</t>
        </is>
      </c>
      <c r="N123" t="inlineStr">
        <is>
          <t xml:space="preserve">2028-07-31</t>
        </is>
      </c>
      <c r="O123" t="inlineStr">
        <is>
          <t xml:space="preserve">Peptide, Device / stimulation</t>
        </is>
      </c>
      <c r="P123" s="3" t="str">
        <f>HYPERLINK("https://reporter.nih.gov/project-details/11618974","https://reporter.nih.gov/project-details/11618974")</f>
        <v>https://reporter.nih.gov/project-details/11618974</v>
      </c>
    </row>
    <row r="124">
      <c r="A124" t="inlineStr">
        <is>
          <t xml:space="preserve">2026-09-02</t>
        </is>
      </c>
      <c r="B124" t="inlineStr">
        <is>
          <t xml:space="preserve">2R01MH125772-22A1</t>
        </is>
      </c>
      <c r="C124" t="inlineStr">
        <is>
          <t xml:space="preserve">Presynaptic forms of long-term plasticity in the CNS</t>
        </is>
      </c>
      <c r="D124" t="inlineStr">
        <is>
          <t xml:space="preserve">PABLO E CASTILLO</t>
        </is>
      </c>
      <c r="E124" t="inlineStr">
        <is>
          <t xml:space="preserve">PABLO E CASTILLO</t>
        </is>
      </c>
      <c r="F124" t="inlineStr">
        <is>
          <t xml:space="preserve">ALBERT EINSTEIN COLLEGE OF MEDICINE</t>
        </is>
      </c>
      <c r="G124" t="inlineStr">
        <is>
          <t xml:space="preserve">BRONX</t>
        </is>
      </c>
      <c r="H124" t="inlineStr">
        <is>
          <t xml:space="preserve">NY</t>
        </is>
      </c>
      <c r="I124" t="inlineStr">
        <is>
          <t xml:space="preserve">NIMH</t>
        </is>
      </c>
      <c r="J124" t="inlineStr">
        <is>
          <t xml:space="preserve">National Institute of Mental Health</t>
        </is>
      </c>
      <c r="K124" t="inlineStr">
        <is>
          <t xml:space="preserve">2026</t>
        </is>
      </c>
      <c r="L124" t="inlineStr">
        <is>
          <t xml:space="preserve">741766</t>
        </is>
      </c>
      <c r="M124" t="inlineStr">
        <is>
          <t xml:space="preserve">2003-08-24</t>
        </is>
      </c>
      <c r="N124" t="inlineStr">
        <is>
          <t xml:space="preserve">2031-06-30</t>
        </is>
      </c>
      <c r="O124" t="inlineStr">
        <is>
          <t xml:space="preserve">Peptide</t>
        </is>
      </c>
      <c r="P124" s="3" t="str">
        <f>HYPERLINK("https://reporter.nih.gov/project-details/11368432","https://reporter.nih.gov/project-details/11368432")</f>
        <v>https://reporter.nih.gov/project-details/11368432</v>
      </c>
    </row>
    <row r="125">
      <c r="A125" t="inlineStr">
        <is>
          <t xml:space="preserve">2026-09-02</t>
        </is>
      </c>
      <c r="B125" t="inlineStr">
        <is>
          <t xml:space="preserve">1R01HD123733-01A1</t>
        </is>
      </c>
      <c r="C125" t="inlineStr">
        <is>
          <t xml:space="preserve">Comprehensive Assessment of medication Risk-bEnefit in autoimmune disease for Healthy Pregnancies (CARE-HP)</t>
        </is>
      </c>
      <c r="D125" t="inlineStr">
        <is>
          <t xml:space="preserve">Judith Maro</t>
        </is>
      </c>
      <c r="E125" t="inlineStr">
        <is>
          <t xml:space="preserve">Judith Maro; ALMUT G WINTERSTEIN</t>
        </is>
      </c>
      <c r="F125" t="inlineStr">
        <is>
          <t xml:space="preserve">HARVARD PILGRIM HEALTH CARE, INC.</t>
        </is>
      </c>
      <c r="G125" t="inlineStr">
        <is>
          <t xml:space="preserve">Canton</t>
        </is>
      </c>
      <c r="H125" t="inlineStr">
        <is>
          <t xml:space="preserve">MA</t>
        </is>
      </c>
      <c r="I125" t="inlineStr">
        <is>
          <t xml:space="preserve">NICHD</t>
        </is>
      </c>
      <c r="J125" t="inlineStr">
        <is>
          <t xml:space="preserve">Eunice Kennedy Shriver National Institute of Child Health and Human Development</t>
        </is>
      </c>
      <c r="K125" t="inlineStr">
        <is>
          <t xml:space="preserve">2026</t>
        </is>
      </c>
      <c r="L125" t="inlineStr">
        <is>
          <t xml:space="preserve">703092</t>
        </is>
      </c>
      <c r="M125" t="inlineStr">
        <is>
          <t xml:space="preserve">2026-09-02</t>
        </is>
      </c>
      <c r="N125" t="inlineStr">
        <is>
          <t xml:space="preserve">2031-06-30</t>
        </is>
      </c>
      <c r="O125" t="inlineStr">
        <is>
          <t xml:space="preserve">Small molecule</t>
        </is>
      </c>
      <c r="P125" s="3" t="str">
        <f>HYPERLINK("https://reporter.nih.gov/project-details/11449460","https://reporter.nih.gov/project-details/11449460")</f>
        <v>https://reporter.nih.gov/project-details/11449460</v>
      </c>
    </row>
    <row r="126">
      <c r="A126" t="inlineStr">
        <is>
          <t xml:space="preserve">2026-09-02</t>
        </is>
      </c>
      <c r="B126" t="inlineStr">
        <is>
          <t xml:space="preserve">7R01HD116300-03</t>
        </is>
      </c>
      <c r="C126" t="inlineStr">
        <is>
          <t xml:space="preserve">Identifying the impact of ableism on maternal health outcomes among Medicaid-enrolled women with IDD</t>
        </is>
      </c>
      <c r="D126" t="inlineStr">
        <is>
          <t xml:space="preserve">Lindsay Lawer Shea</t>
        </is>
      </c>
      <c r="E126" t="inlineStr">
        <is>
          <t xml:space="preserve">Lindsay Lawer Shea</t>
        </is>
      </c>
      <c r="F126" t="inlineStr">
        <is>
          <t xml:space="preserve">RUTGERS BIOMEDICAL AND HEALTH SCIENCES</t>
        </is>
      </c>
      <c r="G126" t="inlineStr">
        <is>
          <t xml:space="preserve">Newark</t>
        </is>
      </c>
      <c r="H126" t="inlineStr">
        <is>
          <t xml:space="preserve">NJ</t>
        </is>
      </c>
      <c r="I126" t="inlineStr">
        <is>
          <t xml:space="preserve">NICHD</t>
        </is>
      </c>
      <c r="J126" t="inlineStr">
        <is>
          <t xml:space="preserve">Eunice Kennedy Shriver National Institute of Child Health and Human Development</t>
        </is>
      </c>
      <c r="K126" t="inlineStr">
        <is>
          <t xml:space="preserve">2026</t>
        </is>
      </c>
      <c r="L126" t="inlineStr">
        <is>
          <t xml:space="preserve">605477</t>
        </is>
      </c>
      <c r="M126" t="inlineStr">
        <is>
          <t xml:space="preserve">2026-08-01</t>
        </is>
      </c>
      <c r="N126" t="inlineStr">
        <is>
          <t xml:space="preserve">2029-07-31</t>
        </is>
      </c>
      <c r="O126" t="inlineStr">
        <is>
          <t xml:space="preserve"/>
        </is>
      </c>
      <c r="P126" s="3" t="str">
        <f>HYPERLINK("https://reporter.nih.gov/project-details/11593502","https://reporter.nih.gov/project-details/11593502")</f>
        <v>https://reporter.nih.gov/project-details/11593502</v>
      </c>
    </row>
    <row r="127">
      <c r="A127" t="inlineStr">
        <is>
          <t xml:space="preserve">2026-09-02</t>
        </is>
      </c>
      <c r="B127" t="inlineStr">
        <is>
          <t xml:space="preserve">8K00HD125057-03</t>
        </is>
      </c>
      <c r="C127" t="inlineStr">
        <is>
          <t xml:space="preserve">Examination of gut-microbiome-brain interactions in a novel gene x environment model of neurodevelopmental disorders</t>
        </is>
      </c>
      <c r="D127" t="inlineStr">
        <is>
          <t xml:space="preserve">Courtney R. McDermott</t>
        </is>
      </c>
      <c r="E127" t="inlineStr">
        <is>
          <t xml:space="preserve">Courtney R. McDermott</t>
        </is>
      </c>
      <c r="F127" t="inlineStr">
        <is>
          <t xml:space="preserve">RUTGERS BIOMEDICAL AND HEALTH SCIENCES</t>
        </is>
      </c>
      <c r="G127" t="inlineStr">
        <is>
          <t xml:space="preserve">Newark</t>
        </is>
      </c>
      <c r="H127" t="inlineStr">
        <is>
          <t xml:space="preserve">NJ</t>
        </is>
      </c>
      <c r="I127" t="inlineStr">
        <is>
          <t xml:space="preserve">NICHD</t>
        </is>
      </c>
      <c r="J127" t="inlineStr">
        <is>
          <t xml:space="preserve">Eunice Kennedy Shriver National Institute of Child Health and Human Development</t>
        </is>
      </c>
      <c r="K127" t="inlineStr">
        <is>
          <t xml:space="preserve">2026</t>
        </is>
      </c>
      <c r="L127" t="inlineStr">
        <is>
          <t xml:space="preserve">85177</t>
        </is>
      </c>
      <c r="M127" t="inlineStr">
        <is>
          <t xml:space="preserve">2022-09-15</t>
        </is>
      </c>
      <c r="N127" t="inlineStr">
        <is>
          <t xml:space="preserve">2030-07-31</t>
        </is>
      </c>
      <c r="O127" t="inlineStr">
        <is>
          <t xml:space="preserve"/>
        </is>
      </c>
      <c r="P127" s="3" t="str">
        <f>HYPERLINK("https://reporter.nih.gov/project-details/11549987","https://reporter.nih.gov/project-details/11549987")</f>
        <v>https://reporter.nih.gov/project-details/11549987</v>
      </c>
    </row>
    <row r="128">
      <c r="A128" t="inlineStr">
        <is>
          <t xml:space="preserve">2026-09-02</t>
        </is>
      </c>
      <c r="B128" t="inlineStr">
        <is>
          <t xml:space="preserve">1R21NS151067-01</t>
        </is>
      </c>
      <c r="C128" t="inlineStr">
        <is>
          <t xml:space="preserve">Transcriptional and epigenetic regulation of neural progenitorfates</t>
        </is>
      </c>
      <c r="D128" t="inlineStr">
        <is>
          <t xml:space="preserve">Charles G Sagerstrom</t>
        </is>
      </c>
      <c r="E128" t="inlineStr">
        <is>
          <t xml:space="preserve">Charles G Sagerstrom</t>
        </is>
      </c>
      <c r="F128" t="inlineStr">
        <is>
          <t xml:space="preserve">UNIVERSITY OF COLORADO DENVER</t>
        </is>
      </c>
      <c r="G128" t="inlineStr">
        <is>
          <t xml:space="preserve">Aurora</t>
        </is>
      </c>
      <c r="H128" t="inlineStr">
        <is>
          <t xml:space="preserve">CO</t>
        </is>
      </c>
      <c r="I128" t="inlineStr">
        <is>
          <t xml:space="preserve">NINDS</t>
        </is>
      </c>
      <c r="J128" t="inlineStr">
        <is>
          <t xml:space="preserve">National Institute of Neurological Disorders and Stroke</t>
        </is>
      </c>
      <c r="K128" t="inlineStr">
        <is>
          <t xml:space="preserve">2026</t>
        </is>
      </c>
      <c r="L128" t="inlineStr">
        <is>
          <t xml:space="preserve">429000</t>
        </is>
      </c>
      <c r="M128" t="inlineStr">
        <is>
          <t xml:space="preserve">2026-09-02</t>
        </is>
      </c>
      <c r="N128" t="inlineStr">
        <is>
          <t xml:space="preserve">2027-08-31</t>
        </is>
      </c>
      <c r="O128" t="inlineStr">
        <is>
          <t xml:space="preserve">Device / stimulation</t>
        </is>
      </c>
      <c r="P128" s="3" t="str">
        <f>HYPERLINK("https://reporter.nih.gov/project-details/11445434","https://reporter.nih.gov/project-details/11445434")</f>
        <v>https://reporter.nih.gov/project-details/11445434</v>
      </c>
    </row>
    <row r="129">
      <c r="A129" t="inlineStr">
        <is>
          <t xml:space="preserve">2026-09-02</t>
        </is>
      </c>
      <c r="B129" t="inlineStr">
        <is>
          <t xml:space="preserve">5R33HD109748-05</t>
        </is>
      </c>
      <c r="C129" t="inlineStr">
        <is>
          <t xml:space="preserve">Mechanistic investigation of therapies for Down Syndrome Regression Disorder</t>
        </is>
      </c>
      <c r="D129" t="inlineStr">
        <is>
          <t xml:space="preserve">Joaquin M. Espinosa</t>
        </is>
      </c>
      <c r="E129" t="inlineStr">
        <is>
          <t xml:space="preserve">Joaquin M. Espinosa</t>
        </is>
      </c>
      <c r="F129" t="inlineStr">
        <is>
          <t xml:space="preserve">UNIVERSITY OF COLORADO DENVER</t>
        </is>
      </c>
      <c r="G129" t="inlineStr">
        <is>
          <t xml:space="preserve">Aurora</t>
        </is>
      </c>
      <c r="H129" t="inlineStr">
        <is>
          <t xml:space="preserve">CO</t>
        </is>
      </c>
      <c r="I129" t="inlineStr">
        <is>
          <t xml:space="preserve">NICHD</t>
        </is>
      </c>
      <c r="J129" t="inlineStr">
        <is>
          <t xml:space="preserve">Eunice Kennedy Shriver National Institute of Child Health and Human Development</t>
        </is>
      </c>
      <c r="K129" t="inlineStr">
        <is>
          <t xml:space="preserve">2026</t>
        </is>
      </c>
      <c r="L129" t="inlineStr">
        <is>
          <t xml:space="preserve">1297326</t>
        </is>
      </c>
      <c r="M129" t="inlineStr">
        <is>
          <t xml:space="preserve">2024-09-01</t>
        </is>
      </c>
      <c r="N129" t="inlineStr">
        <is>
          <t xml:space="preserve">2027-08-31</t>
        </is>
      </c>
      <c r="O129" t="inlineStr">
        <is>
          <t xml:space="preserve">Antibody, Small molecule</t>
        </is>
      </c>
      <c r="P129" s="3" t="str">
        <f>HYPERLINK("https://reporter.nih.gov/project-details/11397330","https://reporter.nih.gov/project-details/11397330")</f>
        <v>https://reporter.nih.gov/project-details/11397330</v>
      </c>
    </row>
    <row r="130">
      <c r="A130" t="inlineStr">
        <is>
          <t xml:space="preserve">2026-09-01</t>
        </is>
      </c>
      <c r="B130" t="inlineStr">
        <is>
          <t xml:space="preserve">3R01HD055741-20S1</t>
        </is>
      </c>
      <c r="C130" t="inlineStr">
        <is>
          <t xml:space="preserve">A Longitudinal Brain and Behavior Study of Autism From Infancy Through Adolescence</t>
        </is>
      </c>
      <c r="D130" t="inlineStr">
        <is>
          <t xml:space="preserve">Joseph Piven</t>
        </is>
      </c>
      <c r="E130" t="inlineStr">
        <is>
          <t xml:space="preserve">Joseph Piven</t>
        </is>
      </c>
      <c r="F130" t="inlineStr">
        <is>
          <t xml:space="preserve">UNIV OF NORTH CAROLINA CHAPEL HILL</t>
        </is>
      </c>
      <c r="G130" t="inlineStr">
        <is>
          <t xml:space="preserve">CHAPEL HILL</t>
        </is>
      </c>
      <c r="H130" t="inlineStr">
        <is>
          <t xml:space="preserve">NC</t>
        </is>
      </c>
      <c r="I130" t="inlineStr">
        <is>
          <t xml:space="preserve">NICHD</t>
        </is>
      </c>
      <c r="J130" t="inlineStr">
        <is>
          <t xml:space="preserve">Eunice Kennedy Shriver National Institute of Child Health and Human Development</t>
        </is>
      </c>
      <c r="K130" t="inlineStr">
        <is>
          <t xml:space="preserve">2026</t>
        </is>
      </c>
      <c r="L130" t="inlineStr">
        <is>
          <t xml:space="preserve">8016</t>
        </is>
      </c>
      <c r="M130" t="inlineStr">
        <is>
          <t xml:space="preserve">2007-07-01</t>
        </is>
      </c>
      <c r="N130" t="inlineStr">
        <is>
          <t xml:space="preserve">2027-08-31</t>
        </is>
      </c>
      <c r="O130" t="inlineStr">
        <is>
          <t xml:space="preserve">Behavioral</t>
        </is>
      </c>
      <c r="P130" s="3" t="str">
        <f>HYPERLINK("https://reporter.nih.gov/project-details/11478411","https://reporter.nih.gov/project-details/11478411")</f>
        <v>https://reporter.nih.gov/project-details/11478411</v>
      </c>
    </row>
    <row r="131">
      <c r="A131" t="inlineStr">
        <is>
          <t xml:space="preserve">2026-09-01</t>
        </is>
      </c>
      <c r="B131" t="inlineStr">
        <is>
          <t xml:space="preserve">1R01MH141942-01A1</t>
        </is>
      </c>
      <c r="C131" t="inlineStr">
        <is>
          <t xml:space="preserve">Spectrally Compatible Sensors and Actuators of In Vivo PKA Activity</t>
        </is>
      </c>
      <c r="D131" t="inlineStr">
        <is>
          <t xml:space="preserve">Yao Chen</t>
        </is>
      </c>
      <c r="E131" t="inlineStr">
        <is>
          <t xml:space="preserve">Yao Chen; Jin Zhang</t>
        </is>
      </c>
      <c r="F131" t="inlineStr">
        <is>
          <t xml:space="preserve">WASHINGTON UNIVERSITY</t>
        </is>
      </c>
      <c r="G131" t="inlineStr">
        <is>
          <t xml:space="preserve">SAINT LOUIS</t>
        </is>
      </c>
      <c r="H131" t="inlineStr">
        <is>
          <t xml:space="preserve">MO</t>
        </is>
      </c>
      <c r="I131" t="inlineStr">
        <is>
          <t xml:space="preserve">NIMH</t>
        </is>
      </c>
      <c r="J131" t="inlineStr">
        <is>
          <t xml:space="preserve">National Institute of Mental Health</t>
        </is>
      </c>
      <c r="K131" t="inlineStr">
        <is>
          <t xml:space="preserve">2026</t>
        </is>
      </c>
      <c r="L131" t="inlineStr">
        <is>
          <t xml:space="preserve">799127</t>
        </is>
      </c>
      <c r="M131" t="inlineStr">
        <is>
          <t xml:space="preserve">2026-09-01</t>
        </is>
      </c>
      <c r="N131" t="inlineStr">
        <is>
          <t xml:space="preserve">2031-06-30</t>
        </is>
      </c>
      <c r="O131" t="inlineStr">
        <is>
          <t xml:space="preserve">Peptide, Small molecule</t>
        </is>
      </c>
      <c r="P131" s="3" t="str">
        <f>HYPERLINK("https://reporter.nih.gov/project-details/11391462","https://reporter.nih.gov/project-details/11391462")</f>
        <v>https://reporter.nih.gov/project-details/11391462</v>
      </c>
    </row>
    <row r="132">
      <c r="A132" t="inlineStr">
        <is>
          <t xml:space="preserve">2026-09-01</t>
        </is>
      </c>
      <c r="B132" t="inlineStr">
        <is>
          <t xml:space="preserve">1K08MH142848-01A1</t>
        </is>
      </c>
      <c r="C132" t="inlineStr">
        <is>
          <t xml:space="preserve">Multiomic and spatial regulation of hippocampal radial glia and subfield specification</t>
        </is>
      </c>
      <c r="D132" t="inlineStr">
        <is>
          <t xml:space="preserve">Deepak Kaji</t>
        </is>
      </c>
      <c r="E132" t="inlineStr">
        <is>
          <t xml:space="preserve">Deepak Kaji</t>
        </is>
      </c>
      <c r="F132" t="inlineStr">
        <is>
          <t xml:space="preserve">ICAHN SCHOOL OF MEDICINE AT MOUNT SINAI</t>
        </is>
      </c>
      <c r="G132" t="inlineStr">
        <is>
          <t xml:space="preserve">NEW YORK</t>
        </is>
      </c>
      <c r="H132" t="inlineStr">
        <is>
          <t xml:space="preserve">NY</t>
        </is>
      </c>
      <c r="I132" t="inlineStr">
        <is>
          <t xml:space="preserve">NIMH</t>
        </is>
      </c>
      <c r="J132" t="inlineStr">
        <is>
          <t xml:space="preserve">National Institute of Mental Health</t>
        </is>
      </c>
      <c r="K132" t="inlineStr">
        <is>
          <t xml:space="preserve">2026</t>
        </is>
      </c>
      <c r="L132" t="inlineStr">
        <is>
          <t xml:space="preserve">169701</t>
        </is>
      </c>
      <c r="M132" t="inlineStr">
        <is>
          <t xml:space="preserve">2026-09-01</t>
        </is>
      </c>
      <c r="N132" t="inlineStr">
        <is>
          <t xml:space="preserve">2030-08-31</t>
        </is>
      </c>
      <c r="O132" t="inlineStr">
        <is>
          <t xml:space="preserve">Small molecule</t>
        </is>
      </c>
      <c r="P132" s="3" t="str">
        <f>HYPERLINK("https://reporter.nih.gov/project-details/11451942","https://reporter.nih.gov/project-details/11451942")</f>
        <v>https://reporter.nih.gov/project-details/11451942</v>
      </c>
    </row>
    <row r="133">
      <c r="A133" t="inlineStr">
        <is>
          <t xml:space="preserve">2026-09-01</t>
        </is>
      </c>
      <c r="B133" t="inlineStr">
        <is>
          <t xml:space="preserve">1R01EY039320-01</t>
        </is>
      </c>
      <c r="C133" t="inlineStr">
        <is>
          <t xml:space="preserve">Mechanisms of higher-order thalamic control over visual cortical processing</t>
        </is>
      </c>
      <c r="D133" t="inlineStr">
        <is>
          <t xml:space="preserve">Garrett Neske</t>
        </is>
      </c>
      <c r="E133" t="inlineStr">
        <is>
          <t xml:space="preserve">Garrett Neske</t>
        </is>
      </c>
      <c r="F133" t="inlineStr">
        <is>
          <t xml:space="preserve">STATE UNIVERSITY OF NEW YORK AT BUFFALO</t>
        </is>
      </c>
      <c r="G133" t="inlineStr">
        <is>
          <t xml:space="preserve">AMHERST</t>
        </is>
      </c>
      <c r="H133" t="inlineStr">
        <is>
          <t xml:space="preserve">NY</t>
        </is>
      </c>
      <c r="I133" t="inlineStr">
        <is>
          <t xml:space="preserve">NEI</t>
        </is>
      </c>
      <c r="J133" t="inlineStr">
        <is>
          <t xml:space="preserve">National Eye Institute</t>
        </is>
      </c>
      <c r="K133" t="inlineStr">
        <is>
          <t xml:space="preserve">2026</t>
        </is>
      </c>
      <c r="L133" t="inlineStr">
        <is>
          <t xml:space="preserve">414168</t>
        </is>
      </c>
      <c r="M133" t="inlineStr">
        <is>
          <t xml:space="preserve">2026-09-01</t>
        </is>
      </c>
      <c r="N133" t="inlineStr">
        <is>
          <t xml:space="preserve">2031-05-31</t>
        </is>
      </c>
      <c r="O133" t="inlineStr">
        <is>
          <t xml:space="preserve">Viral vector</t>
        </is>
      </c>
      <c r="P133" s="3" t="str">
        <f>HYPERLINK("https://reporter.nih.gov/project-details/11429292","https://reporter.nih.gov/project-details/11429292")</f>
        <v>https://reporter.nih.gov/project-details/11429292</v>
      </c>
    </row>
    <row r="134">
      <c r="A134" t="inlineStr">
        <is>
          <t xml:space="preserve">2026-09-01</t>
        </is>
      </c>
      <c r="B134" t="inlineStr">
        <is>
          <t xml:space="preserve">1R21NS152673-01</t>
        </is>
      </c>
      <c r="C134" t="inlineStr">
        <is>
          <t xml:space="preserve">Investigating the role of MN1 in CNS developmental malformations</t>
        </is>
      </c>
      <c r="D134" t="inlineStr">
        <is>
          <t xml:space="preserve">Kathleen Joyce Millen</t>
        </is>
      </c>
      <c r="E134" t="inlineStr">
        <is>
          <t xml:space="preserve">Kathleen Joyce Millen</t>
        </is>
      </c>
      <c r="F134" t="inlineStr">
        <is>
          <t xml:space="preserve">SEATTLE CHILDREN'S HOSPITAL</t>
        </is>
      </c>
      <c r="G134" t="inlineStr">
        <is>
          <t xml:space="preserve">SEATTLE</t>
        </is>
      </c>
      <c r="H134" t="inlineStr">
        <is>
          <t xml:space="preserve">WA</t>
        </is>
      </c>
      <c r="I134" t="inlineStr">
        <is>
          <t xml:space="preserve">NINDS</t>
        </is>
      </c>
      <c r="J134" t="inlineStr">
        <is>
          <t xml:space="preserve">National Institute of Neurological Disorders and Stroke</t>
        </is>
      </c>
      <c r="K134" t="inlineStr">
        <is>
          <t xml:space="preserve">2026</t>
        </is>
      </c>
      <c r="L134" t="inlineStr">
        <is>
          <t xml:space="preserve">516175</t>
        </is>
      </c>
      <c r="M134" t="inlineStr">
        <is>
          <t xml:space="preserve">2026-09-01</t>
        </is>
      </c>
      <c r="N134" t="inlineStr">
        <is>
          <t xml:space="preserve">2028-08-31</t>
        </is>
      </c>
      <c r="O134" t="inlineStr">
        <is>
          <t xml:space="preserve"/>
        </is>
      </c>
      <c r="P134" s="3" t="str">
        <f>HYPERLINK("https://reporter.nih.gov/project-details/11499083","https://reporter.nih.gov/project-details/11499083")</f>
        <v>https://reporter.nih.gov/project-details/11499083</v>
      </c>
    </row>
    <row r="135">
      <c r="A135" t="inlineStr">
        <is>
          <t xml:space="preserve">2026-09-01</t>
        </is>
      </c>
      <c r="B135" t="inlineStr">
        <is>
          <t xml:space="preserve">2R01MH122599-06A1</t>
        </is>
      </c>
      <c r="C135" t="inlineStr">
        <is>
          <t xml:space="preserve">A computer vision toolbox for computational analysis of nonverbal social communication</t>
        </is>
      </c>
      <c r="D135" t="inlineStr">
        <is>
          <t xml:space="preserve">Birkan Tunc</t>
        </is>
      </c>
      <c r="E135" t="inlineStr">
        <is>
          <t xml:space="preserve">Birkan Tunc</t>
        </is>
      </c>
      <c r="F135" t="inlineStr">
        <is>
          <t xml:space="preserve">CHILDREN'S HOSP OF PHILADELPHIA</t>
        </is>
      </c>
      <c r="G135" t="inlineStr">
        <is>
          <t xml:space="preserve">PHILADELPHIA</t>
        </is>
      </c>
      <c r="H135" t="inlineStr">
        <is>
          <t xml:space="preserve">PA</t>
        </is>
      </c>
      <c r="I135" t="inlineStr">
        <is>
          <t xml:space="preserve">NIMH</t>
        </is>
      </c>
      <c r="J135" t="inlineStr">
        <is>
          <t xml:space="preserve">National Institute of Mental Health</t>
        </is>
      </c>
      <c r="K135" t="inlineStr">
        <is>
          <t xml:space="preserve">2026</t>
        </is>
      </c>
      <c r="L135" t="inlineStr">
        <is>
          <t xml:space="preserve">846660</t>
        </is>
      </c>
      <c r="M135" t="inlineStr">
        <is>
          <t xml:space="preserve">2020-09-01</t>
        </is>
      </c>
      <c r="N135" t="inlineStr">
        <is>
          <t xml:space="preserve">2031-06-30</t>
        </is>
      </c>
      <c r="O135" t="inlineStr">
        <is>
          <t xml:space="preserve">Device / stimulation</t>
        </is>
      </c>
      <c r="P135" s="3" t="str">
        <f>HYPERLINK("https://reporter.nih.gov/project-details/11367521","https://reporter.nih.gov/project-details/11367521")</f>
        <v>https://reporter.nih.gov/project-details/11367521</v>
      </c>
    </row>
    <row r="136">
      <c r="A136" t="inlineStr">
        <is>
          <t xml:space="preserve">2026-09-01</t>
        </is>
      </c>
      <c r="B136" t="inlineStr">
        <is>
          <t xml:space="preserve">5R01NS144390-02</t>
        </is>
      </c>
      <c r="C136" t="inlineStr">
        <is>
          <t xml:space="preserve">In Utero Treatment of Dup15q Syndrome Via Lipid Nanoparticle Based Gene Editing</t>
        </is>
      </c>
      <c r="D136" t="inlineStr">
        <is>
          <t xml:space="preserve">Aijun Wang</t>
        </is>
      </c>
      <c r="E136" t="inlineStr">
        <is>
          <t xml:space="preserve">NIREN MURTHY; Jill Lynn Silverman; Aijun Wang</t>
        </is>
      </c>
      <c r="F136" t="inlineStr">
        <is>
          <t xml:space="preserve">UNIVERSITY OF CALIFORNIA AT DAVIS</t>
        </is>
      </c>
      <c r="G136" t="inlineStr">
        <is>
          <t xml:space="preserve">DAVIS</t>
        </is>
      </c>
      <c r="H136" t="inlineStr">
        <is>
          <t xml:space="preserve">CA</t>
        </is>
      </c>
      <c r="I136" t="inlineStr">
        <is>
          <t xml:space="preserve">NINDS</t>
        </is>
      </c>
      <c r="J136" t="inlineStr">
        <is>
          <t xml:space="preserve">National Institute of Neurological Disorders and Stroke</t>
        </is>
      </c>
      <c r="K136" t="inlineStr">
        <is>
          <t xml:space="preserve">2026</t>
        </is>
      </c>
      <c r="L136" t="inlineStr">
        <is>
          <t xml:space="preserve">637117</t>
        </is>
      </c>
      <c r="M136" t="inlineStr">
        <is>
          <t xml:space="preserve">2025-09-01</t>
        </is>
      </c>
      <c r="N136" t="inlineStr">
        <is>
          <t xml:space="preserve">2030-08-31</t>
        </is>
      </c>
      <c r="O136" t="inlineStr">
        <is>
          <t xml:space="preserve">Gene therapy, Nucleic acid therapeutics, Small molecule</t>
        </is>
      </c>
      <c r="P136" s="3" t="str">
        <f>HYPERLINK("https://reporter.nih.gov/project-details/11382974","https://reporter.nih.gov/project-details/11382974")</f>
        <v>https://reporter.nih.gov/project-details/11382974</v>
      </c>
    </row>
    <row r="137">
      <c r="A137" t="inlineStr">
        <is>
          <t xml:space="preserve">2026-09-01</t>
        </is>
      </c>
      <c r="B137" t="inlineStr">
        <is>
          <t xml:space="preserve">1K99HG014856-01</t>
        </is>
      </c>
      <c r="C137" t="inlineStr">
        <is>
          <t xml:space="preserve">Leveraging biobank-scale data to elucidate the role of the X chromosome in human complex diseases</t>
        </is>
      </c>
      <c r="D137" t="inlineStr">
        <is>
          <t xml:space="preserve">Alison Rachel Barton</t>
        </is>
      </c>
      <c r="E137" t="inlineStr">
        <is>
          <t xml:space="preserve">Alison Rachel Barton</t>
        </is>
      </c>
      <c r="F137" t="inlineStr">
        <is>
          <t xml:space="preserve">HARVARD UNIVERSITY</t>
        </is>
      </c>
      <c r="G137" t="inlineStr">
        <is>
          <t xml:space="preserve">CAMBRIDGE</t>
        </is>
      </c>
      <c r="H137" t="inlineStr">
        <is>
          <t xml:space="preserve">MA</t>
        </is>
      </c>
      <c r="I137" t="inlineStr">
        <is>
          <t xml:space="preserve">NHGRI</t>
        </is>
      </c>
      <c r="J137" t="inlineStr">
        <is>
          <t xml:space="preserve">National Human Genome Research Institute</t>
        </is>
      </c>
      <c r="K137" t="inlineStr">
        <is>
          <t xml:space="preserve">2026</t>
        </is>
      </c>
      <c r="L137" t="inlineStr">
        <is>
          <t xml:space="preserve">135341</t>
        </is>
      </c>
      <c r="M137" t="inlineStr">
        <is>
          <t xml:space="preserve">2026-09-01</t>
        </is>
      </c>
      <c r="N137" t="inlineStr">
        <is>
          <t xml:space="preserve">2028-08-31</t>
        </is>
      </c>
      <c r="O137" t="inlineStr">
        <is>
          <t xml:space="preserve"/>
        </is>
      </c>
      <c r="P137" s="3" t="str">
        <f>HYPERLINK("https://reporter.nih.gov/project-details/11282113","https://reporter.nih.gov/project-details/11282113")</f>
        <v>https://reporter.nih.gov/project-details/11282113</v>
      </c>
    </row>
    <row r="138">
      <c r="A138" t="inlineStr">
        <is>
          <t xml:space="preserve">2026-09-01</t>
        </is>
      </c>
      <c r="B138" t="inlineStr">
        <is>
          <t xml:space="preserve">3P50HD103573-05S2</t>
        </is>
      </c>
      <c r="C138" t="inlineStr">
        <is>
          <t xml:space="preserve">Clinical Translational Research Center for Neurodevelopmental Disorders</t>
        </is>
      </c>
      <c r="D138" t="inlineStr">
        <is>
          <t xml:space="preserve">GABRIEL S DICHTER</t>
        </is>
      </c>
      <c r="E138" t="inlineStr">
        <is>
          <t xml:space="preserve">GABRIEL S DICHTER</t>
        </is>
      </c>
      <c r="F138" t="inlineStr">
        <is>
          <t xml:space="preserve">UNIV OF NORTH CAROLINA CHAPEL HILL</t>
        </is>
      </c>
      <c r="G138" t="inlineStr">
        <is>
          <t xml:space="preserve">CHAPEL HILL</t>
        </is>
      </c>
      <c r="H138" t="inlineStr">
        <is>
          <t xml:space="preserve">NC</t>
        </is>
      </c>
      <c r="I138" t="inlineStr">
        <is>
          <t xml:space="preserve">NICHD</t>
        </is>
      </c>
      <c r="J138" t="inlineStr">
        <is>
          <t xml:space="preserve">Eunice Kennedy Shriver National Institute of Child Health and Human Development</t>
        </is>
      </c>
      <c r="K138" t="inlineStr">
        <is>
          <t xml:space="preserve">2026</t>
        </is>
      </c>
      <c r="L138" t="inlineStr">
        <is>
          <t xml:space="preserve">1149539</t>
        </is>
      </c>
      <c r="M138" t="inlineStr">
        <is>
          <t xml:space="preserve">2026-08-25</t>
        </is>
      </c>
      <c r="N138" t="inlineStr">
        <is>
          <t xml:space="preserve">2027-05-31</t>
        </is>
      </c>
      <c r="O138" t="inlineStr">
        <is>
          <t xml:space="preserve">Small molecule, Behavioral</t>
        </is>
      </c>
      <c r="P138" s="3" t="str">
        <f>HYPERLINK("https://reporter.nih.gov/project-details/11522710","https://reporter.nih.gov/project-details/11522710")</f>
        <v>https://reporter.nih.gov/project-details/11522710</v>
      </c>
    </row>
    <row r="139">
      <c r="A139" t="inlineStr">
        <is>
          <t xml:space="preserve">2026-09-01</t>
        </is>
      </c>
      <c r="B139" t="inlineStr">
        <is>
          <t xml:space="preserve">3R01HD055741-20S2</t>
        </is>
      </c>
      <c r="C139" t="inlineStr">
        <is>
          <t xml:space="preserve">A Longitudinal Brain and Behavior Study of Autism From Infancy Through Adolescence</t>
        </is>
      </c>
      <c r="D139" t="inlineStr">
        <is>
          <t xml:space="preserve">Joseph Piven</t>
        </is>
      </c>
      <c r="E139" t="inlineStr">
        <is>
          <t xml:space="preserve">Joseph Piven</t>
        </is>
      </c>
      <c r="F139" t="inlineStr">
        <is>
          <t xml:space="preserve">UNIV OF NORTH CAROLINA CHAPEL HILL</t>
        </is>
      </c>
      <c r="G139" t="inlineStr">
        <is>
          <t xml:space="preserve">CHAPEL HILL</t>
        </is>
      </c>
      <c r="H139" t="inlineStr">
        <is>
          <t xml:space="preserve">NC</t>
        </is>
      </c>
      <c r="I139" t="inlineStr">
        <is>
          <t xml:space="preserve">NICHD</t>
        </is>
      </c>
      <c r="J139" t="inlineStr">
        <is>
          <t xml:space="preserve">Eunice Kennedy Shriver National Institute of Child Health and Human Development</t>
        </is>
      </c>
      <c r="K139" t="inlineStr">
        <is>
          <t xml:space="preserve">2026</t>
        </is>
      </c>
      <c r="L139" t="inlineStr">
        <is>
          <t xml:space="preserve">151200</t>
        </is>
      </c>
      <c r="M139" t="inlineStr">
        <is>
          <t xml:space="preserve">2007-07-01</t>
        </is>
      </c>
      <c r="N139" t="inlineStr">
        <is>
          <t xml:space="preserve">2027-08-31</t>
        </is>
      </c>
      <c r="O139" t="inlineStr">
        <is>
          <t xml:space="preserve">Behavioral</t>
        </is>
      </c>
      <c r="P139" s="3" t="str">
        <f>HYPERLINK("https://reporter.nih.gov/project-details/11478433","https://reporter.nih.gov/project-details/11478433")</f>
        <v>https://reporter.nih.gov/project-details/11478433</v>
      </c>
    </row>
    <row r="140">
      <c r="A140" t="inlineStr">
        <is>
          <t xml:space="preserve">2026-09-01</t>
        </is>
      </c>
      <c r="B140" t="inlineStr">
        <is>
          <t xml:space="preserve">1R01HL180886-01A1</t>
        </is>
      </c>
      <c r="C140" t="inlineStr">
        <is>
          <t xml:space="preserve">Mechanisms underlying sleep disturbances in cerebellar dysfunction</t>
        </is>
      </c>
      <c r="D140" t="inlineStr">
        <is>
          <t xml:space="preserve">Christopher Chen</t>
        </is>
      </c>
      <c r="E140" t="inlineStr">
        <is>
          <t xml:space="preserve">Christopher Chen</t>
        </is>
      </c>
      <c r="F140" t="inlineStr">
        <is>
          <t xml:space="preserve">PENNSYLVANIA STATE UNIV HERSHEY MED CTR</t>
        </is>
      </c>
      <c r="G140" t="inlineStr">
        <is>
          <t xml:space="preserve">HERSHEY</t>
        </is>
      </c>
      <c r="H140" t="inlineStr">
        <is>
          <t xml:space="preserve">PA</t>
        </is>
      </c>
      <c r="I140" t="inlineStr">
        <is>
          <t xml:space="preserve">NHLBI</t>
        </is>
      </c>
      <c r="J140" t="inlineStr">
        <is>
          <t xml:space="preserve">National Heart Lung and Blood Institute</t>
        </is>
      </c>
      <c r="K140" t="inlineStr">
        <is>
          <t xml:space="preserve">2026</t>
        </is>
      </c>
      <c r="L140" t="inlineStr">
        <is>
          <t xml:space="preserve">682280</t>
        </is>
      </c>
      <c r="M140" t="inlineStr">
        <is>
          <t xml:space="preserve">2026-09-01</t>
        </is>
      </c>
      <c r="N140" t="inlineStr">
        <is>
          <t xml:space="preserve">2031-05-31</t>
        </is>
      </c>
      <c r="O140" t="inlineStr">
        <is>
          <t xml:space="preserve"/>
        </is>
      </c>
      <c r="P140" s="3" t="str">
        <f>HYPERLINK("https://reporter.nih.gov/project-details/11365731","https://reporter.nih.gov/project-details/11365731")</f>
        <v>https://reporter.nih.gov/project-details/11365731</v>
      </c>
    </row>
    <row r="141">
      <c r="A141" t="inlineStr">
        <is>
          <t xml:space="preserve">2026-09-01</t>
        </is>
      </c>
      <c r="B141" t="inlineStr">
        <is>
          <t xml:space="preserve">1R03MH139980-01A1</t>
        </is>
      </c>
      <c r="C141" t="inlineStr">
        <is>
          <t xml:space="preserve">Exploring a role of microglia in developmental effects of early life adversity on PFC glutamate receptivity</t>
        </is>
      </c>
      <c r="D141" t="inlineStr">
        <is>
          <t xml:space="preserve">Heather C Brenhouse</t>
        </is>
      </c>
      <c r="E141" t="inlineStr">
        <is>
          <t xml:space="preserve">Heather C Brenhouse</t>
        </is>
      </c>
      <c r="F141" t="inlineStr">
        <is>
          <t xml:space="preserve">NORTHEASTERN UNIVERSITY</t>
        </is>
      </c>
      <c r="G141" t="inlineStr">
        <is>
          <t xml:space="preserve">BOSTON</t>
        </is>
      </c>
      <c r="H141" t="inlineStr">
        <is>
          <t xml:space="preserve">MA</t>
        </is>
      </c>
      <c r="I141" t="inlineStr">
        <is>
          <t xml:space="preserve">NIMH</t>
        </is>
      </c>
      <c r="J141" t="inlineStr">
        <is>
          <t xml:space="preserve">National Institute of Mental Health</t>
        </is>
      </c>
      <c r="K141" t="inlineStr">
        <is>
          <t xml:space="preserve">2026</t>
        </is>
      </c>
      <c r="L141" t="inlineStr">
        <is>
          <t xml:space="preserve">157500</t>
        </is>
      </c>
      <c r="M141" t="inlineStr">
        <is>
          <t xml:space="preserve">2026-09-01</t>
        </is>
      </c>
      <c r="N141" t="inlineStr">
        <is>
          <t xml:space="preserve">2028-08-31</t>
        </is>
      </c>
      <c r="O141" t="inlineStr">
        <is>
          <t xml:space="preserve"/>
        </is>
      </c>
      <c r="P141" s="3" t="str">
        <f>HYPERLINK("https://reporter.nih.gov/project-details/11379603","https://reporter.nih.gov/project-details/11379603")</f>
        <v>https://reporter.nih.gov/project-details/11379603</v>
      </c>
    </row>
    <row r="142">
      <c r="A142" t="inlineStr">
        <is>
          <t xml:space="preserve">2026-09-01</t>
        </is>
      </c>
      <c r="B142" t="inlineStr">
        <is>
          <t xml:space="preserve">4DP2EY036251-02</t>
        </is>
      </c>
      <c r="C142" t="inlineStr">
        <is>
          <t xml:space="preserve">Functional maturation of neural circuits for biological motion perception and social engagement</t>
        </is>
      </c>
      <c r="D142" t="inlineStr">
        <is>
          <t xml:space="preserve">Matthew Lovett-Barron</t>
        </is>
      </c>
      <c r="E142" t="inlineStr">
        <is>
          <t xml:space="preserve">Matthew Lovett-Barron</t>
        </is>
      </c>
      <c r="F142" t="inlineStr">
        <is>
          <t xml:space="preserve">UNIVERSITY OF CALIFORNIA, SAN DIEGO</t>
        </is>
      </c>
      <c r="G142" t="inlineStr">
        <is>
          <t xml:space="preserve">LA JOLLA</t>
        </is>
      </c>
      <c r="H142" t="inlineStr">
        <is>
          <t xml:space="preserve">CA</t>
        </is>
      </c>
      <c r="I142" t="inlineStr">
        <is>
          <t xml:space="preserve">NEI</t>
        </is>
      </c>
      <c r="J142" t="inlineStr">
        <is>
          <t xml:space="preserve">National Eye Institute</t>
        </is>
      </c>
      <c r="K142" t="inlineStr">
        <is>
          <t xml:space="preserve">2026</t>
        </is>
      </c>
      <c r="L142" t="inlineStr">
        <is>
          <t xml:space="preserve">960000</t>
        </is>
      </c>
      <c r="M142" t="inlineStr">
        <is>
          <t xml:space="preserve">2023-09-30</t>
        </is>
      </c>
      <c r="N142" t="inlineStr">
        <is>
          <t xml:space="preserve">2028-08-31</t>
        </is>
      </c>
      <c r="O142" t="inlineStr">
        <is>
          <t xml:space="preserve">Gene therapy</t>
        </is>
      </c>
      <c r="P142" s="3" t="str">
        <f>HYPERLINK("https://reporter.nih.gov/project-details/11062609","https://reporter.nih.gov/project-details/11062609")</f>
        <v>https://reporter.nih.gov/project-details/11062609</v>
      </c>
    </row>
    <row r="143">
      <c r="A143" t="inlineStr">
        <is>
          <t xml:space="preserve">2026-08-31</t>
        </is>
      </c>
      <c r="B143" t="inlineStr">
        <is>
          <t xml:space="preserve">1R01MH140858-01A1</t>
        </is>
      </c>
      <c r="C143" t="inlineStr">
        <is>
          <t xml:space="preserve">Molecular mechanisms underlying the assembly of axo-axonic synapses in the cerebral cortex</t>
        </is>
      </c>
      <c r="D143" t="inlineStr">
        <is>
          <t xml:space="preserve">Linda Van Aelst</t>
        </is>
      </c>
      <c r="E143" t="inlineStr">
        <is>
          <t xml:space="preserve">Linda Van Aelst</t>
        </is>
      </c>
      <c r="F143" t="inlineStr">
        <is>
          <t xml:space="preserve">COLD SPRING HARBOR LABORATORY</t>
        </is>
      </c>
      <c r="G143" t="inlineStr">
        <is>
          <t xml:space="preserve">COLD SPRING HARBOR</t>
        </is>
      </c>
      <c r="H143" t="inlineStr">
        <is>
          <t xml:space="preserve">NY</t>
        </is>
      </c>
      <c r="I143" t="inlineStr">
        <is>
          <t xml:space="preserve">NIMH</t>
        </is>
      </c>
      <c r="J143" t="inlineStr">
        <is>
          <t xml:space="preserve">National Institute of Mental Health</t>
        </is>
      </c>
      <c r="K143" t="inlineStr">
        <is>
          <t xml:space="preserve">2026</t>
        </is>
      </c>
      <c r="L143" t="inlineStr">
        <is>
          <t xml:space="preserve">897709</t>
        </is>
      </c>
      <c r="M143" t="inlineStr">
        <is>
          <t xml:space="preserve">2026-09-01</t>
        </is>
      </c>
      <c r="N143" t="inlineStr">
        <is>
          <t xml:space="preserve">2031-07-31</t>
        </is>
      </c>
      <c r="O143" t="inlineStr">
        <is>
          <t xml:space="preserve">Gene therapy, Nucleic acid therapeutics</t>
        </is>
      </c>
      <c r="P143" s="3" t="str">
        <f>HYPERLINK("https://reporter.nih.gov/project-details/11368020","https://reporter.nih.gov/project-details/11368020")</f>
        <v>https://reporter.nih.gov/project-details/11368020</v>
      </c>
    </row>
    <row r="144">
      <c r="A144" t="inlineStr">
        <is>
          <t xml:space="preserve">2026-08-31</t>
        </is>
      </c>
      <c r="B144" t="inlineStr">
        <is>
          <t xml:space="preserve">5R00MH136290-04</t>
        </is>
      </c>
      <c r="C144" t="inlineStr">
        <is>
          <t xml:space="preserve">Genomic approaches to understand human neural specializations</t>
        </is>
      </c>
      <c r="D144" t="inlineStr">
        <is>
          <t xml:space="preserve">Janet Song</t>
        </is>
      </c>
      <c r="E144" t="inlineStr">
        <is>
          <t xml:space="preserve">Janet Song</t>
        </is>
      </c>
      <c r="F144" t="inlineStr">
        <is>
          <t xml:space="preserve">HARVARD UNIVERSITY</t>
        </is>
      </c>
      <c r="G144" t="inlineStr">
        <is>
          <t xml:space="preserve">CAMBRIDGE</t>
        </is>
      </c>
      <c r="H144" t="inlineStr">
        <is>
          <t xml:space="preserve">MA</t>
        </is>
      </c>
      <c r="I144" t="inlineStr">
        <is>
          <t xml:space="preserve">NIMH</t>
        </is>
      </c>
      <c r="J144" t="inlineStr">
        <is>
          <t xml:space="preserve">National Institute of Mental Health</t>
        </is>
      </c>
      <c r="K144" t="inlineStr">
        <is>
          <t xml:space="preserve">2026</t>
        </is>
      </c>
      <c r="L144" t="inlineStr">
        <is>
          <t xml:space="preserve">248996</t>
        </is>
      </c>
      <c r="M144" t="inlineStr">
        <is>
          <t xml:space="preserve">2024-04-18</t>
        </is>
      </c>
      <c r="N144" t="inlineStr">
        <is>
          <t xml:space="preserve">2028-07-31</t>
        </is>
      </c>
      <c r="O144" t="inlineStr">
        <is>
          <t xml:space="preserve">Gene therapy</t>
        </is>
      </c>
      <c r="P144" s="3" t="str">
        <f>HYPERLINK("https://reporter.nih.gov/project-details/11399119","https://reporter.nih.gov/project-details/11399119")</f>
        <v>https://reporter.nih.gov/project-details/11399119</v>
      </c>
    </row>
    <row r="145">
      <c r="A145" t="inlineStr">
        <is>
          <t xml:space="preserve">2026-08-31</t>
        </is>
      </c>
      <c r="B145" t="inlineStr">
        <is>
          <t xml:space="preserve">1R21NS152034-01</t>
        </is>
      </c>
      <c r="C145" t="inlineStr">
        <is>
          <t xml:space="preserve">Spinal mechanisms underlying early motor dysfunction in ASD</t>
        </is>
      </c>
      <c r="D145" t="inlineStr">
        <is>
          <t xml:space="preserve">Marie-Claude Perreault</t>
        </is>
      </c>
      <c r="E145" t="inlineStr">
        <is>
          <t xml:space="preserve">Marie-Claude Perreault</t>
        </is>
      </c>
      <c r="F145" t="inlineStr">
        <is>
          <t xml:space="preserve">EMORY UNIVERSITY</t>
        </is>
      </c>
      <c r="G145" t="inlineStr">
        <is>
          <t xml:space="preserve">ATLANTA</t>
        </is>
      </c>
      <c r="H145" t="inlineStr">
        <is>
          <t xml:space="preserve">GA</t>
        </is>
      </c>
      <c r="I145" t="inlineStr">
        <is>
          <t xml:space="preserve">NINDS</t>
        </is>
      </c>
      <c r="J145" t="inlineStr">
        <is>
          <t xml:space="preserve">National Institute of Neurological Disorders and Stroke</t>
        </is>
      </c>
      <c r="K145" t="inlineStr">
        <is>
          <t xml:space="preserve">2026</t>
        </is>
      </c>
      <c r="L145" t="inlineStr">
        <is>
          <t xml:space="preserve">430375</t>
        </is>
      </c>
      <c r="M145" t="inlineStr">
        <is>
          <t xml:space="preserve">2026-09-01</t>
        </is>
      </c>
      <c r="N145" t="inlineStr">
        <is>
          <t xml:space="preserve">2028-08-31</t>
        </is>
      </c>
      <c r="O145" t="inlineStr">
        <is>
          <t xml:space="preserve">Small molecule, Behavioral</t>
        </is>
      </c>
      <c r="P145" s="3" t="str">
        <f>HYPERLINK("https://reporter.nih.gov/project-details/11442507","https://reporter.nih.gov/project-details/11442507")</f>
        <v>https://reporter.nih.gov/project-details/11442507</v>
      </c>
    </row>
    <row r="146">
      <c r="A146" t="inlineStr">
        <is>
          <t xml:space="preserve">2026-08-31</t>
        </is>
      </c>
      <c r="B146" t="inlineStr">
        <is>
          <t xml:space="preserve">1F31MH146175-01</t>
        </is>
      </c>
      <c r="C146" t="inlineStr">
        <is>
          <t xml:space="preserve">Functionally specialized temporal and frontal lobe regions for identity recognition and updating</t>
        </is>
      </c>
      <c r="D146" t="inlineStr">
        <is>
          <t xml:space="preserve">Lovisa Ljungqvist Brinson</t>
        </is>
      </c>
      <c r="E146" t="inlineStr">
        <is>
          <t xml:space="preserve">Lovisa Ljungqvist Brinson</t>
        </is>
      </c>
      <c r="F146" t="inlineStr">
        <is>
          <t xml:space="preserve">UNIVERSITY OF PITTSBURGH AT PITTSBURGH</t>
        </is>
      </c>
      <c r="G146" t="inlineStr">
        <is>
          <t xml:space="preserve">PITTSBURGH</t>
        </is>
      </c>
      <c r="H146" t="inlineStr">
        <is>
          <t xml:space="preserve">PA</t>
        </is>
      </c>
      <c r="I146" t="inlineStr">
        <is>
          <t xml:space="preserve">NIMH</t>
        </is>
      </c>
      <c r="J146" t="inlineStr">
        <is>
          <t xml:space="preserve">National Institute of Mental Health</t>
        </is>
      </c>
      <c r="K146" t="inlineStr">
        <is>
          <t xml:space="preserve">2026</t>
        </is>
      </c>
      <c r="L146" t="inlineStr">
        <is>
          <t xml:space="preserve">50114</t>
        </is>
      </c>
      <c r="M146" t="inlineStr">
        <is>
          <t xml:space="preserve">2026-09-01</t>
        </is>
      </c>
      <c r="N146" t="inlineStr">
        <is>
          <t xml:space="preserve">2029-08-31</t>
        </is>
      </c>
      <c r="O146" t="inlineStr">
        <is>
          <t xml:space="preserve">Viral vector, Device / stimulation</t>
        </is>
      </c>
      <c r="P146" s="3" t="str">
        <f>HYPERLINK("https://reporter.nih.gov/project-details/11463677","https://reporter.nih.gov/project-details/11463677")</f>
        <v>https://reporter.nih.gov/project-details/11463677</v>
      </c>
    </row>
    <row r="147">
      <c r="A147" t="inlineStr">
        <is>
          <t xml:space="preserve">2026-08-31</t>
        </is>
      </c>
      <c r="B147" t="inlineStr">
        <is>
          <t xml:space="preserve">5R01HD113669-03</t>
        </is>
      </c>
      <c r="C147" t="inlineStr">
        <is>
          <t xml:space="preserve">Autism in Preterm Birth</t>
        </is>
      </c>
      <c r="D147" t="inlineStr">
        <is>
          <t xml:space="preserve">Sven Sandin</t>
        </is>
      </c>
      <c r="E147" t="inlineStr">
        <is>
          <t xml:space="preserve">Sven Sandin</t>
        </is>
      </c>
      <c r="F147" t="inlineStr">
        <is>
          <t xml:space="preserve">ICAHN SCHOOL OF MEDICINE AT MOUNT SINAI</t>
        </is>
      </c>
      <c r="G147" t="inlineStr">
        <is>
          <t xml:space="preserve">NEW YORK</t>
        </is>
      </c>
      <c r="H147" t="inlineStr">
        <is>
          <t xml:space="preserve">NY</t>
        </is>
      </c>
      <c r="I147" t="inlineStr">
        <is>
          <t xml:space="preserve">NICHD</t>
        </is>
      </c>
      <c r="J147" t="inlineStr">
        <is>
          <t xml:space="preserve">Eunice Kennedy Shriver National Institute of Child Health and Human Development</t>
        </is>
      </c>
      <c r="K147" t="inlineStr">
        <is>
          <t xml:space="preserve">2026</t>
        </is>
      </c>
      <c r="L147" t="inlineStr">
        <is>
          <t xml:space="preserve">532621</t>
        </is>
      </c>
      <c r="M147" t="inlineStr">
        <is>
          <t xml:space="preserve">2024-09-10</t>
        </is>
      </c>
      <c r="N147" t="inlineStr">
        <is>
          <t xml:space="preserve">2029-08-31</t>
        </is>
      </c>
      <c r="O147" t="inlineStr">
        <is>
          <t xml:space="preserve"/>
        </is>
      </c>
      <c r="P147" s="3" t="str">
        <f>HYPERLINK("https://reporter.nih.gov/project-details/11396513","https://reporter.nih.gov/project-details/11396513")</f>
        <v>https://reporter.nih.gov/project-details/11396513</v>
      </c>
    </row>
    <row r="148">
      <c r="A148" t="inlineStr">
        <is>
          <t xml:space="preserve">2026-08-31</t>
        </is>
      </c>
      <c r="B148" t="inlineStr">
        <is>
          <t xml:space="preserve">1K08AR086996-01A1</t>
        </is>
      </c>
      <c r="C148" t="inlineStr">
        <is>
          <t xml:space="preserve">Use of Antenatal Disease Modifying Antirheumatic Drugs and Maternal-child Health Among Women with Chronic Inflammatory Arthritis</t>
        </is>
      </c>
      <c r="D148" t="inlineStr">
        <is>
          <t xml:space="preserve">Eugenia Yupei Chock</t>
        </is>
      </c>
      <c r="E148" t="inlineStr">
        <is>
          <t xml:space="preserve">Eugenia Yupei Chock</t>
        </is>
      </c>
      <c r="F148" t="inlineStr">
        <is>
          <t xml:space="preserve">YALE UNIVERSITY</t>
        </is>
      </c>
      <c r="G148" t="inlineStr">
        <is>
          <t xml:space="preserve">NEW HAVEN</t>
        </is>
      </c>
      <c r="H148" t="inlineStr">
        <is>
          <t xml:space="preserve">CT</t>
        </is>
      </c>
      <c r="I148" t="inlineStr">
        <is>
          <t xml:space="preserve">NIAMS</t>
        </is>
      </c>
      <c r="J148" t="inlineStr">
        <is>
          <t xml:space="preserve">National Institute of Arthritis and Musculoskeletal and Skin Diseases</t>
        </is>
      </c>
      <c r="K148" t="inlineStr">
        <is>
          <t xml:space="preserve">2026</t>
        </is>
      </c>
      <c r="L148" t="inlineStr">
        <is>
          <t xml:space="preserve">160024</t>
        </is>
      </c>
      <c r="M148" t="inlineStr">
        <is>
          <t xml:space="preserve">2026-09-01</t>
        </is>
      </c>
      <c r="N148" t="inlineStr">
        <is>
          <t xml:space="preserve">2031-08-31</t>
        </is>
      </c>
      <c r="O148" t="inlineStr">
        <is>
          <t xml:space="preserve">Small molecule</t>
        </is>
      </c>
      <c r="P148" s="3" t="str">
        <f>HYPERLINK("https://reporter.nih.gov/project-details/11452559","https://reporter.nih.gov/project-details/11452559")</f>
        <v>https://reporter.nih.gov/project-details/11452559</v>
      </c>
    </row>
    <row r="149">
      <c r="A149" t="inlineStr">
        <is>
          <t xml:space="preserve">2026-08-31</t>
        </is>
      </c>
      <c r="B149" t="inlineStr">
        <is>
          <t xml:space="preserve">1R21MH141295-01A1</t>
        </is>
      </c>
      <c r="C149" t="inlineStr">
        <is>
          <t xml:space="preserve">Striosomal control of dopamine circuit impacted by maternal immune activation</t>
        </is>
      </c>
      <c r="D149" t="inlineStr">
        <is>
          <t xml:space="preserve">Ann M Graybiel</t>
        </is>
      </c>
      <c r="E149" t="inlineStr">
        <is>
          <t xml:space="preserve">Ann M Graybiel</t>
        </is>
      </c>
      <c r="F149" t="inlineStr">
        <is>
          <t xml:space="preserve">MASSACHUSETTS INSTITUTE OF TECHNOLOGY</t>
        </is>
      </c>
      <c r="G149" t="inlineStr">
        <is>
          <t xml:space="preserve">CAMBRIDGE</t>
        </is>
      </c>
      <c r="H149" t="inlineStr">
        <is>
          <t xml:space="preserve">MA</t>
        </is>
      </c>
      <c r="I149" t="inlineStr">
        <is>
          <t xml:space="preserve">NIMH</t>
        </is>
      </c>
      <c r="J149" t="inlineStr">
        <is>
          <t xml:space="preserve">National Institute of Mental Health</t>
        </is>
      </c>
      <c r="K149" t="inlineStr">
        <is>
          <t xml:space="preserve">2026</t>
        </is>
      </c>
      <c r="L149" t="inlineStr">
        <is>
          <t xml:space="preserve">443575</t>
        </is>
      </c>
      <c r="M149" t="inlineStr">
        <is>
          <t xml:space="preserve">2026-09-01</t>
        </is>
      </c>
      <c r="N149" t="inlineStr">
        <is>
          <t xml:space="preserve">2028-08-31</t>
        </is>
      </c>
      <c r="O149" t="inlineStr">
        <is>
          <t xml:space="preserve">Peptide, Small molecule</t>
        </is>
      </c>
      <c r="P149" s="3" t="str">
        <f>HYPERLINK("https://reporter.nih.gov/project-details/11374339","https://reporter.nih.gov/project-details/11374339")</f>
        <v>https://reporter.nih.gov/project-details/11374339</v>
      </c>
    </row>
    <row r="150">
      <c r="A150" t="inlineStr">
        <is>
          <t xml:space="preserve">2026-08-31</t>
        </is>
      </c>
      <c r="B150" t="inlineStr">
        <is>
          <t xml:space="preserve">1K99MH141141-01A1</t>
        </is>
      </c>
      <c r="C150" t="inlineStr">
        <is>
          <t xml:space="preserve">Investigating the genetic modulation of phenotypic and transcriptomic convergence in bipolar disorder and schizophrenia</t>
        </is>
      </c>
      <c r="D150" t="inlineStr">
        <is>
          <t xml:space="preserve">Calwing Liao</t>
        </is>
      </c>
      <c r="E150" t="inlineStr">
        <is>
          <t xml:space="preserve">Calwing Liao</t>
        </is>
      </c>
      <c r="F150" t="inlineStr">
        <is>
          <t xml:space="preserve">MASSACHUSETTS GENERAL HOSPITAL</t>
        </is>
      </c>
      <c r="G150" t="inlineStr">
        <is>
          <t xml:space="preserve">BOSTON</t>
        </is>
      </c>
      <c r="H150" t="inlineStr">
        <is>
          <t xml:space="preserve">MA</t>
        </is>
      </c>
      <c r="I150" t="inlineStr">
        <is>
          <t xml:space="preserve">NIMH</t>
        </is>
      </c>
      <c r="J150" t="inlineStr">
        <is>
          <t xml:space="preserve">National Institute of Mental Health</t>
        </is>
      </c>
      <c r="K150" t="inlineStr">
        <is>
          <t xml:space="preserve">2026</t>
        </is>
      </c>
      <c r="L150" t="inlineStr">
        <is>
          <t xml:space="preserve">130140</t>
        </is>
      </c>
      <c r="M150" t="inlineStr">
        <is>
          <t xml:space="preserve">2026-09-01</t>
        </is>
      </c>
      <c r="N150" t="inlineStr">
        <is>
          <t xml:space="preserve">2028-08-31</t>
        </is>
      </c>
      <c r="O150" t="inlineStr">
        <is>
          <t xml:space="preserve">Gene therapy, Small molecule</t>
        </is>
      </c>
      <c r="P150" s="3" t="str">
        <f>HYPERLINK("https://reporter.nih.gov/project-details/11370996","https://reporter.nih.gov/project-details/11370996")</f>
        <v>https://reporter.nih.gov/project-details/11370996</v>
      </c>
    </row>
    <row r="151">
      <c r="A151" t="inlineStr">
        <is>
          <t xml:space="preserve">2026-08-31</t>
        </is>
      </c>
      <c r="B151" t="inlineStr">
        <is>
          <t xml:space="preserve">5K23HD109375-05</t>
        </is>
      </c>
      <c r="C151" t="inlineStr">
        <is>
          <t xml:space="preserve">Tracking early emergence of sound perception impairments in FXS with multimodal fNIRS/EEG</t>
        </is>
      </c>
      <c r="D151" t="inlineStr">
        <is>
          <t xml:space="preserve">Elizabeth Gayle Smith</t>
        </is>
      </c>
      <c r="E151" t="inlineStr">
        <is>
          <t xml:space="preserve">Elizabeth Gayle Smith</t>
        </is>
      </c>
      <c r="F151" t="inlineStr">
        <is>
          <t xml:space="preserve">CINCINNATI CHILDRENS HOSP MED CTR</t>
        </is>
      </c>
      <c r="G151" t="inlineStr">
        <is>
          <t xml:space="preserve">CINCINNATI</t>
        </is>
      </c>
      <c r="H151" t="inlineStr">
        <is>
          <t xml:space="preserve">OH</t>
        </is>
      </c>
      <c r="I151" t="inlineStr">
        <is>
          <t xml:space="preserve">NICHD</t>
        </is>
      </c>
      <c r="J151" t="inlineStr">
        <is>
          <t xml:space="preserve">Eunice Kennedy Shriver National Institute of Child Health and Human Development</t>
        </is>
      </c>
      <c r="K151" t="inlineStr">
        <is>
          <t xml:space="preserve">2026</t>
        </is>
      </c>
      <c r="L151" t="inlineStr">
        <is>
          <t xml:space="preserve">147445</t>
        </is>
      </c>
      <c r="M151" t="inlineStr">
        <is>
          <t xml:space="preserve">2022-09-01</t>
        </is>
      </c>
      <c r="N151" t="inlineStr">
        <is>
          <t xml:space="preserve">2027-08-31</t>
        </is>
      </c>
      <c r="O151" t="inlineStr">
        <is>
          <t xml:space="preserve">Behavioral</t>
        </is>
      </c>
      <c r="P151" s="3" t="str">
        <f>HYPERLINK("https://reporter.nih.gov/project-details/11399133","https://reporter.nih.gov/project-details/11399133")</f>
        <v>https://reporter.nih.gov/project-details/11399133</v>
      </c>
    </row>
    <row r="152">
      <c r="A152" t="inlineStr">
        <is>
          <t xml:space="preserve">2026-08-31</t>
        </is>
      </c>
      <c r="B152" t="inlineStr">
        <is>
          <t xml:space="preserve">5R01DC021564-04</t>
        </is>
      </c>
      <c r="C152" t="inlineStr">
        <is>
          <t xml:space="preserve">Ready to CONNECT: Conversation and Language in Autistic Teens</t>
        </is>
      </c>
      <c r="D152" t="inlineStr">
        <is>
          <t xml:space="preserve">Inge-Marie Eigsti</t>
        </is>
      </c>
      <c r="E152" t="inlineStr">
        <is>
          <t xml:space="preserve">Inge-Marie Eigsti</t>
        </is>
      </c>
      <c r="F152" t="inlineStr">
        <is>
          <t xml:space="preserve">UNIVERSITY OF CONNECTICUT STORRS</t>
        </is>
      </c>
      <c r="G152" t="inlineStr">
        <is>
          <t xml:space="preserve">STORRS-MANSFIELD</t>
        </is>
      </c>
      <c r="H152" t="inlineStr">
        <is>
          <t xml:space="preserve">CT</t>
        </is>
      </c>
      <c r="I152" t="inlineStr">
        <is>
          <t xml:space="preserve">NIDCD</t>
        </is>
      </c>
      <c r="J152" t="inlineStr">
        <is>
          <t xml:space="preserve">National Institute on Deafness and Other Communication Disorders</t>
        </is>
      </c>
      <c r="K152" t="inlineStr">
        <is>
          <t xml:space="preserve">2026</t>
        </is>
      </c>
      <c r="L152" t="inlineStr">
        <is>
          <t xml:space="preserve">484776</t>
        </is>
      </c>
      <c r="M152" t="inlineStr">
        <is>
          <t xml:space="preserve">2023-09-18</t>
        </is>
      </c>
      <c r="N152" t="inlineStr">
        <is>
          <t xml:space="preserve">2028-08-31</t>
        </is>
      </c>
      <c r="O152" t="inlineStr">
        <is>
          <t xml:space="preserve"/>
        </is>
      </c>
      <c r="P152" s="3" t="str">
        <f>HYPERLINK("https://reporter.nih.gov/project-details/11415912","https://reporter.nih.gov/project-details/11415912")</f>
        <v>https://reporter.nih.gov/project-details/11415912</v>
      </c>
    </row>
    <row r="153">
      <c r="A153" t="inlineStr">
        <is>
          <t xml:space="preserve">2026-08-31</t>
        </is>
      </c>
      <c r="B153" t="inlineStr">
        <is>
          <t xml:space="preserve">5R01LM014342-04</t>
        </is>
      </c>
      <c r="C153" t="inlineStr">
        <is>
          <t xml:space="preserve">An active learning framework for adaptive autism healthcare</t>
        </is>
      </c>
      <c r="D153" t="inlineStr">
        <is>
          <t xml:space="preserve">Dennis Paul Wall</t>
        </is>
      </c>
      <c r="E153" t="inlineStr">
        <is>
          <t xml:space="preserve">Dennis Paul Wall</t>
        </is>
      </c>
      <c r="F153" t="inlineStr">
        <is>
          <t xml:space="preserve">STANFORD UNIVERSITY</t>
        </is>
      </c>
      <c r="G153" t="inlineStr">
        <is>
          <t xml:space="preserve">STANFORD</t>
        </is>
      </c>
      <c r="H153" t="inlineStr">
        <is>
          <t xml:space="preserve">CA</t>
        </is>
      </c>
      <c r="I153" t="inlineStr">
        <is>
          <t xml:space="preserve">NLM</t>
        </is>
      </c>
      <c r="J153" t="inlineStr">
        <is>
          <t xml:space="preserve">National Library of Medicine</t>
        </is>
      </c>
      <c r="K153" t="inlineStr">
        <is>
          <t xml:space="preserve">2026</t>
        </is>
      </c>
      <c r="L153" t="inlineStr">
        <is>
          <t xml:space="preserve">463200</t>
        </is>
      </c>
      <c r="M153" t="inlineStr">
        <is>
          <t xml:space="preserve">2023-09-08</t>
        </is>
      </c>
      <c r="N153" t="inlineStr">
        <is>
          <t xml:space="preserve">2027-07-31</t>
        </is>
      </c>
      <c r="O153" t="inlineStr">
        <is>
          <t xml:space="preserve">Small molecule, Device / stimulation, Behavioral</t>
        </is>
      </c>
      <c r="P153" s="3" t="str">
        <f>HYPERLINK("https://reporter.nih.gov/project-details/11384629","https://reporter.nih.gov/project-details/11384629")</f>
        <v>https://reporter.nih.gov/project-details/11384629</v>
      </c>
    </row>
    <row r="154">
      <c r="A154" t="inlineStr">
        <is>
          <t xml:space="preserve">2026-08-31</t>
        </is>
      </c>
      <c r="B154" t="inlineStr">
        <is>
          <t xml:space="preserve">1R56HD121630-01</t>
        </is>
      </c>
      <c r="C154" t="inlineStr">
        <is>
          <t xml:space="preserve">The genetic etiologies of stillbirth: an extreme on the developmental disorders continuum</t>
        </is>
      </c>
      <c r="D154" t="inlineStr">
        <is>
          <t xml:space="preserve">MICHAEL E TALKOWSKI</t>
        </is>
      </c>
      <c r="E154" t="inlineStr">
        <is>
          <t xml:space="preserve">MICHAEL E TALKOWSKI</t>
        </is>
      </c>
      <c r="F154" t="inlineStr">
        <is>
          <t xml:space="preserve">MASSACHUSETTS GENERAL HOSPITAL</t>
        </is>
      </c>
      <c r="G154" t="inlineStr">
        <is>
          <t xml:space="preserve">BOSTON</t>
        </is>
      </c>
      <c r="H154" t="inlineStr">
        <is>
          <t xml:space="preserve">MA</t>
        </is>
      </c>
      <c r="I154" t="inlineStr">
        <is>
          <t xml:space="preserve">NICHD</t>
        </is>
      </c>
      <c r="J154" t="inlineStr">
        <is>
          <t xml:space="preserve">Eunice Kennedy Shriver National Institute of Child Health and Human Development</t>
        </is>
      </c>
      <c r="K154" t="inlineStr">
        <is>
          <t xml:space="preserve">2026</t>
        </is>
      </c>
      <c r="L154" t="inlineStr">
        <is>
          <t xml:space="preserve">499918</t>
        </is>
      </c>
      <c r="M154" t="inlineStr">
        <is>
          <t xml:space="preserve">2026-09-01</t>
        </is>
      </c>
      <c r="N154" t="inlineStr">
        <is>
          <t xml:space="preserve">2028-08-31</t>
        </is>
      </c>
      <c r="O154" t="inlineStr">
        <is>
          <t xml:space="preserve"/>
        </is>
      </c>
      <c r="P154" s="3" t="str">
        <f>HYPERLINK("https://reporter.nih.gov/project-details/11600938","https://reporter.nih.gov/project-details/11600938")</f>
        <v>https://reporter.nih.gov/project-details/11600938</v>
      </c>
    </row>
    <row r="155">
      <c r="A155" t="inlineStr">
        <is>
          <t xml:space="preserve">2026-08-31</t>
        </is>
      </c>
      <c r="B155" t="inlineStr">
        <is>
          <t xml:space="preserve">4DP5OD037403-03</t>
        </is>
      </c>
      <c r="C155" t="inlineStr">
        <is>
          <t xml:space="preserve">Juggling Roles: A Study of Diverse Neonatal Intensive Care Unit Parents and Their Work-Family Transition</t>
        </is>
      </c>
      <c r="D155" t="inlineStr">
        <is>
          <t xml:space="preserve">Alexandrea L. Craft</t>
        </is>
      </c>
      <c r="E155" t="inlineStr">
        <is>
          <t xml:space="preserve">Alexandrea L. Craft</t>
        </is>
      </c>
      <c r="F155" t="inlineStr">
        <is>
          <t xml:space="preserve">WOMEN AND INFANTS HOSPITAL-RHODE ISLAND</t>
        </is>
      </c>
      <c r="G155" t="inlineStr">
        <is>
          <t xml:space="preserve">PROVIDENCE</t>
        </is>
      </c>
      <c r="H155" t="inlineStr">
        <is>
          <t xml:space="preserve">RI</t>
        </is>
      </c>
      <c r="I155" t="inlineStr">
        <is>
          <t xml:space="preserve">OD</t>
        </is>
      </c>
      <c r="J155" t="inlineStr">
        <is>
          <t xml:space="preserve">NIH Office of the Director</t>
        </is>
      </c>
      <c r="K155" t="inlineStr">
        <is>
          <t xml:space="preserve">2026</t>
        </is>
      </c>
      <c r="L155" t="inlineStr">
        <is>
          <t xml:space="preserve">1312383</t>
        </is>
      </c>
      <c r="M155" t="inlineStr">
        <is>
          <t xml:space="preserve">2024-09-18</t>
        </is>
      </c>
      <c r="N155" t="inlineStr">
        <is>
          <t xml:space="preserve">2029-07-31</t>
        </is>
      </c>
      <c r="O155" t="inlineStr">
        <is>
          <t xml:space="preserve"/>
        </is>
      </c>
      <c r="P155" s="3" t="str">
        <f>HYPERLINK("https://reporter.nih.gov/project-details/11413664","https://reporter.nih.gov/project-details/11413664")</f>
        <v>https://reporter.nih.gov/project-details/11413664</v>
      </c>
    </row>
    <row r="156">
      <c r="A156" t="inlineStr">
        <is>
          <t xml:space="preserve">2026-08-31</t>
        </is>
      </c>
      <c r="B156" t="inlineStr">
        <is>
          <t xml:space="preserve">1R01MH143827-01</t>
        </is>
      </c>
      <c r="C156" t="inlineStr">
        <is>
          <t xml:space="preserve">Social Perception and Cognition in a Marmoset Model of Phelan McDermid Syndrome</t>
        </is>
      </c>
      <c r="D156" t="inlineStr">
        <is>
          <t xml:space="preserve">Robert Desimone</t>
        </is>
      </c>
      <c r="E156" t="inlineStr">
        <is>
          <t xml:space="preserve">Robert Desimone</t>
        </is>
      </c>
      <c r="F156" t="inlineStr">
        <is>
          <t xml:space="preserve">MASSACHUSETTS INSTITUTE OF TECHNOLOGY</t>
        </is>
      </c>
      <c r="G156" t="inlineStr">
        <is>
          <t xml:space="preserve">CAMBRIDGE</t>
        </is>
      </c>
      <c r="H156" t="inlineStr">
        <is>
          <t xml:space="preserve">MA</t>
        </is>
      </c>
      <c r="I156" t="inlineStr">
        <is>
          <t xml:space="preserve">NIMH</t>
        </is>
      </c>
      <c r="J156" t="inlineStr">
        <is>
          <t xml:space="preserve">National Institute of Mental Health</t>
        </is>
      </c>
      <c r="K156" t="inlineStr">
        <is>
          <t xml:space="preserve">2026</t>
        </is>
      </c>
      <c r="L156" t="inlineStr">
        <is>
          <t xml:space="preserve">805382</t>
        </is>
      </c>
      <c r="M156" t="inlineStr">
        <is>
          <t xml:space="preserve">2026-09-01</t>
        </is>
      </c>
      <c r="N156" t="inlineStr">
        <is>
          <t xml:space="preserve">2031-06-30</t>
        </is>
      </c>
      <c r="O156" t="inlineStr">
        <is>
          <t xml:space="preserve">Gene therapy, Viral vector, Device / stimulation</t>
        </is>
      </c>
      <c r="P156" s="3" t="str">
        <f>HYPERLINK("https://reporter.nih.gov/project-details/11338252","https://reporter.nih.gov/project-details/11338252")</f>
        <v>https://reporter.nih.gov/project-details/11338252</v>
      </c>
    </row>
    <row r="157">
      <c r="A157" t="inlineStr">
        <is>
          <t xml:space="preserve">2026-08-31</t>
        </is>
      </c>
      <c r="B157" t="inlineStr">
        <is>
          <t xml:space="preserve">7R01NS142389-02</t>
        </is>
      </c>
      <c r="C157" t="inlineStr">
        <is>
          <t xml:space="preserve">Molecular Mechanisms of Oligodendrocyte Myelination and remyelination</t>
        </is>
      </c>
      <c r="D157" t="inlineStr">
        <is>
          <t xml:space="preserve">QING Richard LU</t>
        </is>
      </c>
      <c r="E157" t="inlineStr">
        <is>
          <t xml:space="preserve">QING Richard LU; Mei Xin</t>
        </is>
      </c>
      <c r="F157" t="inlineStr">
        <is>
          <t xml:space="preserve">UNIVERSITY OF ALABAMA AT BIRMINGHAM</t>
        </is>
      </c>
      <c r="G157" t="inlineStr">
        <is>
          <t xml:space="preserve">BIRMINGHAM</t>
        </is>
      </c>
      <c r="H157" t="inlineStr">
        <is>
          <t xml:space="preserve">AL</t>
        </is>
      </c>
      <c r="I157" t="inlineStr">
        <is>
          <t xml:space="preserve">NINDS</t>
        </is>
      </c>
      <c r="J157" t="inlineStr">
        <is>
          <t xml:space="preserve">National Institute of Neurological Disorders and Stroke</t>
        </is>
      </c>
      <c r="K157" t="inlineStr">
        <is>
          <t xml:space="preserve">2026</t>
        </is>
      </c>
      <c r="L157" t="inlineStr">
        <is>
          <t xml:space="preserve">557941</t>
        </is>
      </c>
      <c r="M157" t="inlineStr">
        <is>
          <t xml:space="preserve">2025-06-15</t>
        </is>
      </c>
      <c r="N157" t="inlineStr">
        <is>
          <t xml:space="preserve">2030-04-30</t>
        </is>
      </c>
      <c r="O157" t="inlineStr">
        <is>
          <t xml:space="preserve">Small molecule</t>
        </is>
      </c>
      <c r="P157" s="3" t="str">
        <f>HYPERLINK("https://reporter.nih.gov/project-details/11535394","https://reporter.nih.gov/project-details/11535394")</f>
        <v>https://reporter.nih.gov/project-details/11535394</v>
      </c>
    </row>
    <row r="158">
      <c r="A158" t="inlineStr">
        <is>
          <t xml:space="preserve">2026-08-31</t>
        </is>
      </c>
      <c r="B158" t="inlineStr">
        <is>
          <t xml:space="preserve">5R01NS131782-03</t>
        </is>
      </c>
      <c r="C158" t="inlineStr">
        <is>
          <t xml:space="preserve">Defining the role of Tox3 in congenital cerebellar hypoplasia and ataxia</t>
        </is>
      </c>
      <c r="D158" t="inlineStr">
        <is>
          <t xml:space="preserve">Joshua John Breunig</t>
        </is>
      </c>
      <c r="E158" t="inlineStr">
        <is>
          <t xml:space="preserve">Joshua John Breunig; JONATHAN G KAYE</t>
        </is>
      </c>
      <c r="F158" t="inlineStr">
        <is>
          <t xml:space="preserve">CEDARS-SINAI MEDICAL CENTER</t>
        </is>
      </c>
      <c r="G158" t="inlineStr">
        <is>
          <t xml:space="preserve">LOS ANGELES</t>
        </is>
      </c>
      <c r="H158" t="inlineStr">
        <is>
          <t xml:space="preserve">CA</t>
        </is>
      </c>
      <c r="I158" t="inlineStr">
        <is>
          <t xml:space="preserve">NINDS</t>
        </is>
      </c>
      <c r="J158" t="inlineStr">
        <is>
          <t xml:space="preserve">National Institute of Neurological Disorders and Stroke</t>
        </is>
      </c>
      <c r="K158" t="inlineStr">
        <is>
          <t xml:space="preserve">2026</t>
        </is>
      </c>
      <c r="L158" t="inlineStr">
        <is>
          <t xml:space="preserve">462744</t>
        </is>
      </c>
      <c r="M158" t="inlineStr">
        <is>
          <t xml:space="preserve">2024-07-15</t>
        </is>
      </c>
      <c r="N158" t="inlineStr">
        <is>
          <t xml:space="preserve">2028-06-30</t>
        </is>
      </c>
      <c r="O158" t="inlineStr">
        <is>
          <t xml:space="preserve"/>
        </is>
      </c>
      <c r="P158" s="3" t="str">
        <f>HYPERLINK("https://reporter.nih.gov/project-details/11362481","https://reporter.nih.gov/project-details/11362481")</f>
        <v>https://reporter.nih.gov/project-details/11362481</v>
      </c>
    </row>
    <row r="159">
      <c r="A159" t="inlineStr">
        <is>
          <t xml:space="preserve">2026-08-28</t>
        </is>
      </c>
      <c r="B159" t="inlineStr">
        <is>
          <t xml:space="preserve">1R44AA033838-01A1</t>
        </is>
      </c>
      <c r="C159" t="inlineStr">
        <is>
          <t xml:space="preserve">A novel organoid brain-chip platform for accelerating drug discovery.</t>
        </is>
      </c>
      <c r="D159" t="inlineStr">
        <is>
          <t xml:space="preserve">John L Sherwood</t>
        </is>
      </c>
      <c r="E159" t="inlineStr">
        <is>
          <t xml:space="preserve">Giorgia Quadrato; John L Sherwood</t>
        </is>
      </c>
      <c r="F159" t="inlineStr">
        <is>
          <t xml:space="preserve">LEAFLABS, LLC</t>
        </is>
      </c>
      <c r="G159" t="inlineStr">
        <is>
          <t xml:space="preserve">CAMBRIDGE</t>
        </is>
      </c>
      <c r="H159" t="inlineStr">
        <is>
          <t xml:space="preserve">MA</t>
        </is>
      </c>
      <c r="I159" t="inlineStr">
        <is>
          <t xml:space="preserve">NIAAA</t>
        </is>
      </c>
      <c r="J159" t="inlineStr">
        <is>
          <t xml:space="preserve">National Institute on Alcohol Abuse and Alcoholism</t>
        </is>
      </c>
      <c r="K159" t="inlineStr">
        <is>
          <t xml:space="preserve">2026</t>
        </is>
      </c>
      <c r="L159" t="inlineStr">
        <is>
          <t xml:space="preserve">499971</t>
        </is>
      </c>
      <c r="M159" t="inlineStr">
        <is>
          <t xml:space="preserve">2026-09-01</t>
        </is>
      </c>
      <c r="N159" t="inlineStr">
        <is>
          <t xml:space="preserve">2028-08-31</t>
        </is>
      </c>
      <c r="O159" t="inlineStr">
        <is>
          <t xml:space="preserve">Small molecule, Device / stimulation</t>
        </is>
      </c>
      <c r="P159" s="3" t="str">
        <f>HYPERLINK("https://reporter.nih.gov/project-details/11408487","https://reporter.nih.gov/project-details/11408487")</f>
        <v>https://reporter.nih.gov/project-details/11408487</v>
      </c>
    </row>
    <row r="160">
      <c r="A160" t="inlineStr">
        <is>
          <t xml:space="preserve">2026-08-28</t>
        </is>
      </c>
      <c r="B160" t="inlineStr">
        <is>
          <t xml:space="preserve">5R03AG092302-02</t>
        </is>
      </c>
      <c r="C160" t="inlineStr">
        <is>
          <t xml:space="preserve">The role of depolarizing GABA in Alzheimer's disease</t>
        </is>
      </c>
      <c r="D160" t="inlineStr">
        <is>
          <t xml:space="preserve">MARCO MARTINA</t>
        </is>
      </c>
      <c r="E160" t="inlineStr">
        <is>
          <t xml:space="preserve">MARCO MARTINA</t>
        </is>
      </c>
      <c r="F160" t="inlineStr">
        <is>
          <t xml:space="preserve">NORTHWESTERN UNIVERSITY</t>
        </is>
      </c>
      <c r="G160" t="inlineStr">
        <is>
          <t xml:space="preserve">CHICAGO</t>
        </is>
      </c>
      <c r="H160" t="inlineStr">
        <is>
          <t xml:space="preserve">IL</t>
        </is>
      </c>
      <c r="I160" t="inlineStr">
        <is>
          <t xml:space="preserve">NIA</t>
        </is>
      </c>
      <c r="J160" t="inlineStr">
        <is>
          <t xml:space="preserve">National Institute on Aging</t>
        </is>
      </c>
      <c r="K160" t="inlineStr">
        <is>
          <t xml:space="preserve">2026</t>
        </is>
      </c>
      <c r="L160" t="inlineStr">
        <is>
          <t xml:space="preserve">160000</t>
        </is>
      </c>
      <c r="M160" t="inlineStr">
        <is>
          <t xml:space="preserve">2025-09-30</t>
        </is>
      </c>
      <c r="N160" t="inlineStr">
        <is>
          <t xml:space="preserve">2027-08-31</t>
        </is>
      </c>
      <c r="O160" t="inlineStr">
        <is>
          <t xml:space="preserve">Peptide, Small molecule</t>
        </is>
      </c>
      <c r="P160" s="3" t="str">
        <f>HYPERLINK("https://reporter.nih.gov/project-details/11424419","https://reporter.nih.gov/project-details/11424419")</f>
        <v>https://reporter.nih.gov/project-details/11424419</v>
      </c>
    </row>
    <row r="161">
      <c r="A161" t="inlineStr">
        <is>
          <t xml:space="preserve">2026-08-28</t>
        </is>
      </c>
      <c r="B161" t="inlineStr">
        <is>
          <t xml:space="preserve">1R01NS151429-01</t>
        </is>
      </c>
      <c r="C161" t="inlineStr">
        <is>
          <t xml:space="preserve">Molecular and Cellular Mechanisms of Synaptic Growth Restriction in Central Olfactory Circuits</t>
        </is>
      </c>
      <c r="D161" t="inlineStr">
        <is>
          <t xml:space="preserve">Timothy J. Mosca</t>
        </is>
      </c>
      <c r="E161" t="inlineStr">
        <is>
          <t xml:space="preserve">Timothy J. Mosca</t>
        </is>
      </c>
      <c r="F161" t="inlineStr">
        <is>
          <t xml:space="preserve">THOMAS JEFFERSON UNIVERSITY</t>
        </is>
      </c>
      <c r="G161" t="inlineStr">
        <is>
          <t xml:space="preserve">PHILADELPHIA</t>
        </is>
      </c>
      <c r="H161" t="inlineStr">
        <is>
          <t xml:space="preserve">PA</t>
        </is>
      </c>
      <c r="I161" t="inlineStr">
        <is>
          <t xml:space="preserve">NINDS</t>
        </is>
      </c>
      <c r="J161" t="inlineStr">
        <is>
          <t xml:space="preserve">National Institute of Neurological Disorders and Stroke</t>
        </is>
      </c>
      <c r="K161" t="inlineStr">
        <is>
          <t xml:space="preserve">2026</t>
        </is>
      </c>
      <c r="L161" t="inlineStr">
        <is>
          <t xml:space="preserve">509949</t>
        </is>
      </c>
      <c r="M161" t="inlineStr">
        <is>
          <t xml:space="preserve">2026-09-01</t>
        </is>
      </c>
      <c r="N161" t="inlineStr">
        <is>
          <t xml:space="preserve">2031-05-31</t>
        </is>
      </c>
      <c r="O161" t="inlineStr">
        <is>
          <t xml:space="preserve">Peptide</t>
        </is>
      </c>
      <c r="P161" s="3" t="str">
        <f>HYPERLINK("https://reporter.nih.gov/project-details/11459286","https://reporter.nih.gov/project-details/11459286")</f>
        <v>https://reporter.nih.gov/project-details/11459286</v>
      </c>
    </row>
    <row r="162">
      <c r="A162" t="inlineStr">
        <is>
          <t xml:space="preserve">2026-08-28</t>
        </is>
      </c>
      <c r="B162" t="inlineStr">
        <is>
          <t xml:space="preserve">1R21AG104239-01</t>
        </is>
      </c>
      <c r="C162" t="inlineStr">
        <is>
          <t xml:space="preserve">Cognitive Decline in Prodromal Alzheimer's Disease: Toward Restoring a Vital Neurotransmitter Cofactor Deficit</t>
        </is>
      </c>
      <c r="D162" t="inlineStr">
        <is>
          <t xml:space="preserve">CATHERINE L CLELLAND</t>
        </is>
      </c>
      <c r="E162" t="inlineStr">
        <is>
          <t xml:space="preserve">CATHERINE L CLELLAND</t>
        </is>
      </c>
      <c r="F162" t="inlineStr">
        <is>
          <t xml:space="preserve">COLUMBIA UNIVERSITY HEALTH SCIENCES</t>
        </is>
      </c>
      <c r="G162" t="inlineStr">
        <is>
          <t xml:space="preserve">NEW YORK</t>
        </is>
      </c>
      <c r="H162" t="inlineStr">
        <is>
          <t xml:space="preserve">NY</t>
        </is>
      </c>
      <c r="I162" t="inlineStr">
        <is>
          <t xml:space="preserve">NIA</t>
        </is>
      </c>
      <c r="J162" t="inlineStr">
        <is>
          <t xml:space="preserve">National Institute on Aging</t>
        </is>
      </c>
      <c r="K162" t="inlineStr">
        <is>
          <t xml:space="preserve">2026</t>
        </is>
      </c>
      <c r="L162" t="inlineStr">
        <is>
          <t xml:space="preserve">452375</t>
        </is>
      </c>
      <c r="M162" t="inlineStr">
        <is>
          <t xml:space="preserve">2026-09-01</t>
        </is>
      </c>
      <c r="N162" t="inlineStr">
        <is>
          <t xml:space="preserve">2028-08-31</t>
        </is>
      </c>
      <c r="O162" t="inlineStr">
        <is>
          <t xml:space="preserve">Peptide, Small molecule</t>
        </is>
      </c>
      <c r="P162" s="3" t="str">
        <f>HYPERLINK("https://reporter.nih.gov/project-details/11445150","https://reporter.nih.gov/project-details/11445150")</f>
        <v>https://reporter.nih.gov/project-details/11445150</v>
      </c>
    </row>
    <row r="163">
      <c r="A163" t="inlineStr">
        <is>
          <t xml:space="preserve">2026-08-28</t>
        </is>
      </c>
      <c r="B163" t="inlineStr">
        <is>
          <t xml:space="preserve">1R01MH143880-01</t>
        </is>
      </c>
      <c r="C163" t="inlineStr">
        <is>
          <t xml:space="preserve">Co-transmission of GABA and Glutamate in Cortical Circuits.</t>
        </is>
      </c>
      <c r="D163" t="inlineStr">
        <is>
          <t xml:space="preserve">ANNE E TAKESIAN</t>
        </is>
      </c>
      <c r="E163" t="inlineStr">
        <is>
          <t xml:space="preserve">ANNE E TAKESIAN</t>
        </is>
      </c>
      <c r="F163" t="inlineStr">
        <is>
          <t xml:space="preserve">MASSACHUSETTS EYE AND EAR INFIRMARY</t>
        </is>
      </c>
      <c r="G163" t="inlineStr">
        <is>
          <t xml:space="preserve">BOSTON</t>
        </is>
      </c>
      <c r="H163" t="inlineStr">
        <is>
          <t xml:space="preserve">MA</t>
        </is>
      </c>
      <c r="I163" t="inlineStr">
        <is>
          <t xml:space="preserve">NIMH</t>
        </is>
      </c>
      <c r="J163" t="inlineStr">
        <is>
          <t xml:space="preserve">National Institute of Mental Health</t>
        </is>
      </c>
      <c r="K163" t="inlineStr">
        <is>
          <t xml:space="preserve">2026</t>
        </is>
      </c>
      <c r="L163" t="inlineStr">
        <is>
          <t xml:space="preserve">666010</t>
        </is>
      </c>
      <c r="M163" t="inlineStr">
        <is>
          <t xml:space="preserve">2026-09-01</t>
        </is>
      </c>
      <c r="N163" t="inlineStr">
        <is>
          <t xml:space="preserve">2031-05-31</t>
        </is>
      </c>
      <c r="O163" t="inlineStr">
        <is>
          <t xml:space="preserve">Small molecule, Device / stimulation</t>
        </is>
      </c>
      <c r="P163" s="3" t="str">
        <f>HYPERLINK("https://reporter.nih.gov/project-details/11341947","https://reporter.nih.gov/project-details/11341947")</f>
        <v>https://reporter.nih.gov/project-details/11341947</v>
      </c>
    </row>
    <row r="164">
      <c r="A164" t="inlineStr">
        <is>
          <t xml:space="preserve">2026-08-28</t>
        </is>
      </c>
      <c r="B164" t="inlineStr">
        <is>
          <t xml:space="preserve">5R01NS055028-20</t>
        </is>
      </c>
      <c r="C164" t="inlineStr">
        <is>
          <t xml:space="preserve">Patterning and Formation of the Neuromuscular Junction</t>
        </is>
      </c>
      <c r="D164" t="inlineStr">
        <is>
          <t xml:space="preserve">WEICHUN LIN</t>
        </is>
      </c>
      <c r="E164" t="inlineStr">
        <is>
          <t xml:space="preserve">WEICHUN LIN; Beverly A Rothermel</t>
        </is>
      </c>
      <c r="F164" t="inlineStr">
        <is>
          <t xml:space="preserve">UT SOUTHWESTERN MEDICAL CENTER</t>
        </is>
      </c>
      <c r="G164" t="inlineStr">
        <is>
          <t xml:space="preserve">DALLAS</t>
        </is>
      </c>
      <c r="H164" t="inlineStr">
        <is>
          <t xml:space="preserve">TX</t>
        </is>
      </c>
      <c r="I164" t="inlineStr">
        <is>
          <t xml:space="preserve">NINDS</t>
        </is>
      </c>
      <c r="J164" t="inlineStr">
        <is>
          <t xml:space="preserve">National Institute of Neurological Disorders and Stroke</t>
        </is>
      </c>
      <c r="K164" t="inlineStr">
        <is>
          <t xml:space="preserve">2026</t>
        </is>
      </c>
      <c r="L164" t="inlineStr">
        <is>
          <t xml:space="preserve">608319</t>
        </is>
      </c>
      <c r="M164" t="inlineStr">
        <is>
          <t xml:space="preserve">2007-05-15</t>
        </is>
      </c>
      <c r="N164" t="inlineStr">
        <is>
          <t xml:space="preserve">2027-08-31</t>
        </is>
      </c>
      <c r="O164" t="inlineStr">
        <is>
          <t xml:space="preserve"/>
        </is>
      </c>
      <c r="P164" s="3" t="str">
        <f>HYPERLINK("https://reporter.nih.gov/project-details/11393716","https://reporter.nih.gov/project-details/11393716")</f>
        <v>https://reporter.nih.gov/project-details/11393716</v>
      </c>
    </row>
    <row r="165">
      <c r="A165" t="inlineStr">
        <is>
          <t xml:space="preserve">2026-08-28</t>
        </is>
      </c>
      <c r="B165" t="inlineStr">
        <is>
          <t xml:space="preserve">5P50HD093074-10</t>
        </is>
      </c>
      <c r="C165" t="inlineStr">
        <is>
          <t xml:space="preserve">Duke Autism Center of Excellence: A translational digital health and computational approach to early identification, outcome monitoring, and biomarker discovery in autism</t>
        </is>
      </c>
      <c r="D165" t="inlineStr">
        <is>
          <t xml:space="preserve">Geraldine Dawson</t>
        </is>
      </c>
      <c r="E165" t="inlineStr">
        <is>
          <t xml:space="preserve">Geraldine Dawson; Lauren Franz</t>
        </is>
      </c>
      <c r="F165" t="inlineStr">
        <is>
          <t xml:space="preserve">DUKE UNIVERSITY</t>
        </is>
      </c>
      <c r="G165" t="inlineStr">
        <is>
          <t xml:space="preserve">DURHAM</t>
        </is>
      </c>
      <c r="H165" t="inlineStr">
        <is>
          <t xml:space="preserve">NC</t>
        </is>
      </c>
      <c r="I165" t="inlineStr">
        <is>
          <t xml:space="preserve">NICHD</t>
        </is>
      </c>
      <c r="J165" t="inlineStr">
        <is>
          <t xml:space="preserve">Eunice Kennedy Shriver National Institute of Child Health and Human Development</t>
        </is>
      </c>
      <c r="K165" t="inlineStr">
        <is>
          <t xml:space="preserve">2026</t>
        </is>
      </c>
      <c r="L165" t="inlineStr">
        <is>
          <t xml:space="preserve">2407109</t>
        </is>
      </c>
      <c r="M165" t="inlineStr">
        <is>
          <t xml:space="preserve">2017-09-07</t>
        </is>
      </c>
      <c r="N165" t="inlineStr">
        <is>
          <t xml:space="preserve">2027-08-31</t>
        </is>
      </c>
      <c r="O165" t="inlineStr">
        <is>
          <t xml:space="preserve">Device / stimulation</t>
        </is>
      </c>
      <c r="P165" s="3" t="str">
        <f>HYPERLINK("https://reporter.nih.gov/project-details/11419214","https://reporter.nih.gov/project-details/11419214")</f>
        <v>https://reporter.nih.gov/project-details/11419214</v>
      </c>
    </row>
    <row r="166">
      <c r="A166" t="inlineStr">
        <is>
          <t xml:space="preserve">2026-08-28</t>
        </is>
      </c>
      <c r="B166" t="inlineStr">
        <is>
          <t xml:space="preserve">2R01EY025648-11</t>
        </is>
      </c>
      <c r="C166" t="inlineStr">
        <is>
          <t xml:space="preserve">Neural and perceptual mechanisms of spatial stability across eye movements</t>
        </is>
      </c>
      <c r="D166" t="inlineStr">
        <is>
          <t xml:space="preserve">Julie D Golomb</t>
        </is>
      </c>
      <c r="E166" t="inlineStr">
        <is>
          <t xml:space="preserve">Julie D Golomb</t>
        </is>
      </c>
      <c r="F166" t="inlineStr">
        <is>
          <t xml:space="preserve">OHIO STATE UNIVERSITY</t>
        </is>
      </c>
      <c r="G166" t="inlineStr">
        <is>
          <t xml:space="preserve">Columbus</t>
        </is>
      </c>
      <c r="H166" t="inlineStr">
        <is>
          <t xml:space="preserve">OH</t>
        </is>
      </c>
      <c r="I166" t="inlineStr">
        <is>
          <t xml:space="preserve">NEI</t>
        </is>
      </c>
      <c r="J166" t="inlineStr">
        <is>
          <t xml:space="preserve">National Eye Institute</t>
        </is>
      </c>
      <c r="K166" t="inlineStr">
        <is>
          <t xml:space="preserve">2026</t>
        </is>
      </c>
      <c r="L166" t="inlineStr">
        <is>
          <t xml:space="preserve">688010</t>
        </is>
      </c>
      <c r="M166" t="inlineStr">
        <is>
          <t xml:space="preserve">2015-08-01</t>
        </is>
      </c>
      <c r="N166" t="inlineStr">
        <is>
          <t xml:space="preserve">2030-07-31</t>
        </is>
      </c>
      <c r="O166" t="inlineStr">
        <is>
          <t xml:space="preserve"/>
        </is>
      </c>
      <c r="P166" s="3" t="str">
        <f>HYPERLINK("https://reporter.nih.gov/project-details/11449371","https://reporter.nih.gov/project-details/11449371")</f>
        <v>https://reporter.nih.gov/project-details/11449371</v>
      </c>
    </row>
    <row r="167">
      <c r="A167" t="inlineStr">
        <is>
          <t xml:space="preserve">2026-08-28</t>
        </is>
      </c>
      <c r="B167" t="inlineStr">
        <is>
          <t xml:space="preserve">5R01MH137042-03</t>
        </is>
      </c>
      <c r="C167" t="inlineStr">
        <is>
          <t xml:space="preserve">Scalable functional analysis of neuropsychiatric risk genes with spatially integrated in vivo Perturb-seq</t>
        </is>
      </c>
      <c r="D167" t="inlineStr">
        <is>
          <t xml:space="preserve">Xin Jin</t>
        </is>
      </c>
      <c r="E167" t="inlineStr">
        <is>
          <t xml:space="preserve">Xin Jin; Joshua Zvi Levin</t>
        </is>
      </c>
      <c r="F167" t="inlineStr">
        <is>
          <t xml:space="preserve">SCRIPPS RESEARCH INSTITUTE, THE</t>
        </is>
      </c>
      <c r="G167" t="inlineStr">
        <is>
          <t xml:space="preserve">LA JOLLA</t>
        </is>
      </c>
      <c r="H167" t="inlineStr">
        <is>
          <t xml:space="preserve">CA</t>
        </is>
      </c>
      <c r="I167" t="inlineStr">
        <is>
          <t xml:space="preserve">NIMH</t>
        </is>
      </c>
      <c r="J167" t="inlineStr">
        <is>
          <t xml:space="preserve">National Institute of Mental Health</t>
        </is>
      </c>
      <c r="K167" t="inlineStr">
        <is>
          <t xml:space="preserve">2026</t>
        </is>
      </c>
      <c r="L167" t="inlineStr">
        <is>
          <t xml:space="preserve">890929</t>
        </is>
      </c>
      <c r="M167" t="inlineStr">
        <is>
          <t xml:space="preserve">2024-09-05</t>
        </is>
      </c>
      <c r="N167" t="inlineStr">
        <is>
          <t xml:space="preserve">2029-05-31</t>
        </is>
      </c>
      <c r="O167" t="inlineStr">
        <is>
          <t xml:space="preserve">Small molecule</t>
        </is>
      </c>
      <c r="P167" s="3" t="str">
        <f>HYPERLINK("https://reporter.nih.gov/project-details/11370250","https://reporter.nih.gov/project-details/11370250")</f>
        <v>https://reporter.nih.gov/project-details/11370250</v>
      </c>
    </row>
    <row r="168">
      <c r="A168" t="inlineStr">
        <is>
          <t xml:space="preserve">2026-08-28</t>
        </is>
      </c>
      <c r="B168" t="inlineStr">
        <is>
          <t xml:space="preserve">5R01MH132968-04</t>
        </is>
      </c>
      <c r="C168" t="inlineStr">
        <is>
          <t xml:space="preserve">1/3 Akili: Phenotypic and genetic characterization of ADHD in Kenya and South Africa</t>
        </is>
      </c>
      <c r="D168" t="inlineStr">
        <is>
          <t xml:space="preserve">Elise B Robinson</t>
        </is>
      </c>
      <c r="E168" t="inlineStr">
        <is>
          <t xml:space="preserve">Elise B Robinson</t>
        </is>
      </c>
      <c r="F168" t="inlineStr">
        <is>
          <t xml:space="preserve">BROAD INSTITUTE, INC.</t>
        </is>
      </c>
      <c r="G168" t="inlineStr">
        <is>
          <t xml:space="preserve">CAMBRIDGE</t>
        </is>
      </c>
      <c r="H168" t="inlineStr">
        <is>
          <t xml:space="preserve">MA</t>
        </is>
      </c>
      <c r="I168" t="inlineStr">
        <is>
          <t xml:space="preserve">NIMH</t>
        </is>
      </c>
      <c r="J168" t="inlineStr">
        <is>
          <t xml:space="preserve">National Institute of Mental Health</t>
        </is>
      </c>
      <c r="K168" t="inlineStr">
        <is>
          <t xml:space="preserve">2026</t>
        </is>
      </c>
      <c r="L168" t="inlineStr">
        <is>
          <t xml:space="preserve">646978</t>
        </is>
      </c>
      <c r="M168" t="inlineStr">
        <is>
          <t xml:space="preserve">2023-08-01</t>
        </is>
      </c>
      <c r="N168" t="inlineStr">
        <is>
          <t xml:space="preserve">2028-05-31</t>
        </is>
      </c>
      <c r="O168" t="inlineStr">
        <is>
          <t xml:space="preserve"/>
        </is>
      </c>
      <c r="P168" s="3" t="str">
        <f>HYPERLINK("https://reporter.nih.gov/project-details/11372136","https://reporter.nih.gov/project-details/11372136")</f>
        <v>https://reporter.nih.gov/project-details/11372136</v>
      </c>
    </row>
    <row r="169">
      <c r="A169" t="inlineStr">
        <is>
          <t xml:space="preserve">2026-08-27</t>
        </is>
      </c>
      <c r="B169" t="inlineStr">
        <is>
          <t xml:space="preserve">2RF1NS119690-06</t>
        </is>
      </c>
      <c r="C169" t="inlineStr">
        <is>
          <t xml:space="preserve">Developmental mechanisms underlying dopamine neuron diversity</t>
        </is>
      </c>
      <c r="D169" t="inlineStr">
        <is>
          <t xml:space="preserve">Rajeshwar B Awatramani</t>
        </is>
      </c>
      <c r="E169" t="inlineStr">
        <is>
          <t xml:space="preserve">Rajeshwar B Awatramani</t>
        </is>
      </c>
      <c r="F169" t="inlineStr">
        <is>
          <t xml:space="preserve">NORTHWESTERN UNIVERSITY</t>
        </is>
      </c>
      <c r="G169" t="inlineStr">
        <is>
          <t xml:space="preserve">CHICAGO</t>
        </is>
      </c>
      <c r="H169" t="inlineStr">
        <is>
          <t xml:space="preserve">IL</t>
        </is>
      </c>
      <c r="I169" t="inlineStr">
        <is>
          <t xml:space="preserve">NINDS</t>
        </is>
      </c>
      <c r="J169" t="inlineStr">
        <is>
          <t xml:space="preserve">National Institute of Neurological Disorders and Stroke</t>
        </is>
      </c>
      <c r="K169" t="inlineStr">
        <is>
          <t xml:space="preserve">2026</t>
        </is>
      </c>
      <c r="L169" t="inlineStr">
        <is>
          <t xml:space="preserve">1767432</t>
        </is>
      </c>
      <c r="M169" t="inlineStr">
        <is>
          <t xml:space="preserve">2021-01-01</t>
        </is>
      </c>
      <c r="N169" t="inlineStr">
        <is>
          <t xml:space="preserve">2029-08-31</t>
        </is>
      </c>
      <c r="O169" t="inlineStr">
        <is>
          <t xml:space="preserve"/>
        </is>
      </c>
      <c r="P169" s="3" t="str">
        <f>HYPERLINK("https://reporter.nih.gov/project-details/11446730","https://reporter.nih.gov/project-details/11446730")</f>
        <v>https://reporter.nih.gov/project-details/11446730</v>
      </c>
    </row>
    <row r="170">
      <c r="A170" t="inlineStr">
        <is>
          <t xml:space="preserve">2026-08-27</t>
        </is>
      </c>
      <c r="B170" t="inlineStr">
        <is>
          <t xml:space="preserve">5U2CHL156291-07</t>
        </is>
      </c>
      <c r="C170" t="inlineStr">
        <is>
          <t xml:space="preserve">The INCLUDE Data Coordinating Center</t>
        </is>
      </c>
      <c r="D170" t="inlineStr">
        <is>
          <t xml:space="preserve">Adam Cain Resnick</t>
        </is>
      </c>
      <c r="E170" t="inlineStr">
        <is>
          <t xml:space="preserve">Robert J Carroll; Joaquin M. Espinosa; Vincent Ferretti; Matthew D Galbraith</t>
        </is>
      </c>
      <c r="F170" t="inlineStr">
        <is>
          <t xml:space="preserve">CHILDREN'S HOSP OF PHILADELPHIA</t>
        </is>
      </c>
      <c r="G170" t="inlineStr">
        <is>
          <t xml:space="preserve">PHILADELPHIA</t>
        </is>
      </c>
      <c r="H170" t="inlineStr">
        <is>
          <t xml:space="preserve">PA</t>
        </is>
      </c>
      <c r="I170" t="inlineStr">
        <is>
          <t xml:space="preserve">NHLBI</t>
        </is>
      </c>
      <c r="J170" t="inlineStr">
        <is>
          <t xml:space="preserve">National Heart Lung and Blood Institute</t>
        </is>
      </c>
      <c r="K170" t="inlineStr">
        <is>
          <t xml:space="preserve">2026</t>
        </is>
      </c>
      <c r="L170" t="inlineStr">
        <is>
          <t xml:space="preserve">5971520</t>
        </is>
      </c>
      <c r="M170" t="inlineStr">
        <is>
          <t xml:space="preserve">2020-09-26</t>
        </is>
      </c>
      <c r="N170" t="inlineStr">
        <is>
          <t xml:space="preserve">2030-08-31</t>
        </is>
      </c>
      <c r="O170" t="inlineStr">
        <is>
          <t xml:space="preserve"/>
        </is>
      </c>
      <c r="P170" s="3" t="str">
        <f>HYPERLINK("https://reporter.nih.gov/project-details/11525080","https://reporter.nih.gov/project-details/11525080")</f>
        <v>https://reporter.nih.gov/project-details/11525080</v>
      </c>
    </row>
    <row r="171">
      <c r="A171" t="inlineStr">
        <is>
          <t xml:space="preserve">2026-08-27</t>
        </is>
      </c>
      <c r="B171" t="inlineStr">
        <is>
          <t xml:space="preserve">1R21MH141426-01A1</t>
        </is>
      </c>
      <c r="C171" t="inlineStr">
        <is>
          <t xml:space="preserve">Preliminary Imaging Study of Neuroinflammation as a Treatment Strategy for Depression in ASD</t>
        </is>
      </c>
      <c r="D171" t="inlineStr">
        <is>
          <t xml:space="preserve">KENNETH D GADOW</t>
        </is>
      </c>
      <c r="E171" t="inlineStr">
        <is>
          <t xml:space="preserve">Christine Delorenzo; KENNETH D GADOW</t>
        </is>
      </c>
      <c r="F171" t="inlineStr">
        <is>
          <t xml:space="preserve">STATE UNIVERSITY NEW YORK STONY BROOK</t>
        </is>
      </c>
      <c r="G171" t="inlineStr">
        <is>
          <t xml:space="preserve">STONY BROOK</t>
        </is>
      </c>
      <c r="H171" t="inlineStr">
        <is>
          <t xml:space="preserve">NY</t>
        </is>
      </c>
      <c r="I171" t="inlineStr">
        <is>
          <t xml:space="preserve">NIMH</t>
        </is>
      </c>
      <c r="J171" t="inlineStr">
        <is>
          <t xml:space="preserve">National Institute of Mental Health</t>
        </is>
      </c>
      <c r="K171" t="inlineStr">
        <is>
          <t xml:space="preserve">2026</t>
        </is>
      </c>
      <c r="L171" t="inlineStr">
        <is>
          <t xml:space="preserve">436125</t>
        </is>
      </c>
      <c r="M171" t="inlineStr">
        <is>
          <t xml:space="preserve">2026-09-01</t>
        </is>
      </c>
      <c r="N171" t="inlineStr">
        <is>
          <t xml:space="preserve">2028-08-31</t>
        </is>
      </c>
      <c r="O171" t="inlineStr">
        <is>
          <t xml:space="preserve">Small molecule</t>
        </is>
      </c>
      <c r="P171" s="3" t="str">
        <f>HYPERLINK("https://reporter.nih.gov/project-details/11369581","https://reporter.nih.gov/project-details/11369581")</f>
        <v>https://reporter.nih.gov/project-details/11369581</v>
      </c>
    </row>
    <row r="172">
      <c r="A172" t="inlineStr">
        <is>
          <t xml:space="preserve">2026-08-27</t>
        </is>
      </c>
      <c r="B172" t="inlineStr">
        <is>
          <t xml:space="preserve">1R16NS151377-01A1</t>
        </is>
      </c>
      <c r="C172" t="inlineStr">
        <is>
          <t xml:space="preserve">Oxytocin and GABAergic Rescue of Benzodiazepine Resistance in Social Mammals</t>
        </is>
      </c>
      <c r="D172" t="inlineStr">
        <is>
          <t xml:space="preserve">Daniel P McCloskey</t>
        </is>
      </c>
      <c r="E172" t="inlineStr">
        <is>
          <t xml:space="preserve">Daniel P McCloskey</t>
        </is>
      </c>
      <c r="F172" t="inlineStr">
        <is>
          <t xml:space="preserve">COLLEGE OF STATEN ISLAND</t>
        </is>
      </c>
      <c r="G172" t="inlineStr">
        <is>
          <t xml:space="preserve">NEW YORK</t>
        </is>
      </c>
      <c r="H172" t="inlineStr">
        <is>
          <t xml:space="preserve">NY</t>
        </is>
      </c>
      <c r="I172" t="inlineStr">
        <is>
          <t xml:space="preserve">NINDS</t>
        </is>
      </c>
      <c r="J172" t="inlineStr">
        <is>
          <t xml:space="preserve">National Institute of Neurological Disorders and Stroke</t>
        </is>
      </c>
      <c r="K172" t="inlineStr">
        <is>
          <t xml:space="preserve">2026</t>
        </is>
      </c>
      <c r="L172" t="inlineStr">
        <is>
          <t xml:space="preserve">530156</t>
        </is>
      </c>
      <c r="M172" t="inlineStr">
        <is>
          <t xml:space="preserve">2026-09-01</t>
        </is>
      </c>
      <c r="N172" t="inlineStr">
        <is>
          <t xml:space="preserve">2030-08-31</t>
        </is>
      </c>
      <c r="O172" t="inlineStr">
        <is>
          <t xml:space="preserve">Peptide, Small molecule</t>
        </is>
      </c>
      <c r="P172" s="3" t="str">
        <f>HYPERLINK("https://reporter.nih.gov/project-details/11424807","https://reporter.nih.gov/project-details/11424807")</f>
        <v>https://reporter.nih.gov/project-details/11424807</v>
      </c>
    </row>
    <row r="173">
      <c r="A173" t="inlineStr">
        <is>
          <t xml:space="preserve">2026-08-27</t>
        </is>
      </c>
      <c r="B173" t="inlineStr">
        <is>
          <t xml:space="preserve">1R21NS151357-01</t>
        </is>
      </c>
      <c r="C173" t="inlineStr">
        <is>
          <t xml:space="preserve">Sleep-driven reorganization of excitatory and inhibitory synaptic nanoarchitecture</t>
        </is>
      </c>
      <c r="D173" t="inlineStr">
        <is>
          <t xml:space="preserve">Michelle Bridi</t>
        </is>
      </c>
      <c r="E173" t="inlineStr">
        <is>
          <t xml:space="preserve">Michelle Bridi; Martin Hruska</t>
        </is>
      </c>
      <c r="F173" t="inlineStr">
        <is>
          <t xml:space="preserve">WEST VIRGINIA UNIVERSITY</t>
        </is>
      </c>
      <c r="G173" t="inlineStr">
        <is>
          <t xml:space="preserve">MORGANTOWN</t>
        </is>
      </c>
      <c r="H173" t="inlineStr">
        <is>
          <t xml:space="preserve">WV</t>
        </is>
      </c>
      <c r="I173" t="inlineStr">
        <is>
          <t xml:space="preserve">NINDS</t>
        </is>
      </c>
      <c r="J173" t="inlineStr">
        <is>
          <t xml:space="preserve">National Institute of Neurological Disorders and Stroke</t>
        </is>
      </c>
      <c r="K173" t="inlineStr">
        <is>
          <t xml:space="preserve">2026</t>
        </is>
      </c>
      <c r="L173" t="inlineStr">
        <is>
          <t xml:space="preserve">420750</t>
        </is>
      </c>
      <c r="M173" t="inlineStr">
        <is>
          <t xml:space="preserve">2026-08-27</t>
        </is>
      </c>
      <c r="N173" t="inlineStr">
        <is>
          <t xml:space="preserve">2028-07-31</t>
        </is>
      </c>
      <c r="O173" t="inlineStr">
        <is>
          <t xml:space="preserve"/>
        </is>
      </c>
      <c r="P173" s="3" t="str">
        <f>HYPERLINK("https://reporter.nih.gov/project-details/11440123","https://reporter.nih.gov/project-details/11440123")</f>
        <v>https://reporter.nih.gov/project-details/11440123</v>
      </c>
    </row>
    <row r="174">
      <c r="A174" t="inlineStr">
        <is>
          <t xml:space="preserve">2026-08-27</t>
        </is>
      </c>
      <c r="B174" t="inlineStr">
        <is>
          <t xml:space="preserve">1F31MH146215-01</t>
        </is>
      </c>
      <c r="C174" t="inlineStr">
        <is>
          <t xml:space="preserve">Circadian-immune interactions in the pathogenesis of neurodevelopmental disorders</t>
        </is>
      </c>
      <c r="D174" t="inlineStr">
        <is>
          <t xml:space="preserve">Kathryn Ann Callahan</t>
        </is>
      </c>
      <c r="E174" t="inlineStr">
        <is>
          <t xml:space="preserve">Kathryn Ann Callahan</t>
        </is>
      </c>
      <c r="F174" t="inlineStr">
        <is>
          <t xml:space="preserve">UNIVERSITY OF TEXAS AT AUSTIN</t>
        </is>
      </c>
      <c r="G174" t="inlineStr">
        <is>
          <t xml:space="preserve">AUSTIN</t>
        </is>
      </c>
      <c r="H174" t="inlineStr">
        <is>
          <t xml:space="preserve">TX</t>
        </is>
      </c>
      <c r="I174" t="inlineStr">
        <is>
          <t xml:space="preserve">NIMH</t>
        </is>
      </c>
      <c r="J174" t="inlineStr">
        <is>
          <t xml:space="preserve">National Institute of Mental Health</t>
        </is>
      </c>
      <c r="K174" t="inlineStr">
        <is>
          <t xml:space="preserve">2026</t>
        </is>
      </c>
      <c r="L174" t="inlineStr">
        <is>
          <t xml:space="preserve">41753</t>
        </is>
      </c>
      <c r="M174" t="inlineStr">
        <is>
          <t xml:space="preserve">2026-09-01</t>
        </is>
      </c>
      <c r="N174" t="inlineStr">
        <is>
          <t xml:space="preserve">2029-08-31</t>
        </is>
      </c>
      <c r="O174" t="inlineStr">
        <is>
          <t xml:space="preserve"/>
        </is>
      </c>
      <c r="P174" s="3" t="str">
        <f>HYPERLINK("https://reporter.nih.gov/project-details/11463728","https://reporter.nih.gov/project-details/11463728")</f>
        <v>https://reporter.nih.gov/project-details/11463728</v>
      </c>
    </row>
    <row r="175">
      <c r="A175" t="inlineStr">
        <is>
          <t xml:space="preserve">2026-08-27</t>
        </is>
      </c>
      <c r="B175" t="inlineStr">
        <is>
          <t xml:space="preserve">3U2CHL156291-06S1</t>
        </is>
      </c>
      <c r="C175" t="inlineStr">
        <is>
          <t xml:space="preserve">The INCLUDE Data Coordinating Center</t>
        </is>
      </c>
      <c r="D175" t="inlineStr">
        <is>
          <t xml:space="preserve">Adam Cain Resnick</t>
        </is>
      </c>
      <c r="E175" t="inlineStr">
        <is>
          <t xml:space="preserve">Robert J Carroll; Jack DiGiovanna; Joaquin M. Espinosa; Vincent Ferretti</t>
        </is>
      </c>
      <c r="F175" t="inlineStr">
        <is>
          <t xml:space="preserve">CHILDREN'S HOSP OF PHILADELPHIA</t>
        </is>
      </c>
      <c r="G175" t="inlineStr">
        <is>
          <t xml:space="preserve">PHILADELPHIA</t>
        </is>
      </c>
      <c r="H175" t="inlineStr">
        <is>
          <t xml:space="preserve">PA</t>
        </is>
      </c>
      <c r="I175" t="inlineStr">
        <is>
          <t xml:space="preserve">NHLBI</t>
        </is>
      </c>
      <c r="J175" t="inlineStr">
        <is>
          <t xml:space="preserve">National Heart Lung and Blood Institute</t>
        </is>
      </c>
      <c r="K175" t="inlineStr">
        <is>
          <t xml:space="preserve">2026</t>
        </is>
      </c>
      <c r="L175" t="inlineStr">
        <is>
          <t xml:space="preserve">142400</t>
        </is>
      </c>
      <c r="M175" t="inlineStr">
        <is>
          <t xml:space="preserve">2020-09-26</t>
        </is>
      </c>
      <c r="N175" t="inlineStr">
        <is>
          <t xml:space="preserve">2027-08-31</t>
        </is>
      </c>
      <c r="O175" t="inlineStr">
        <is>
          <t xml:space="preserve"/>
        </is>
      </c>
      <c r="P175" s="3" t="str">
        <f>HYPERLINK("https://reporter.nih.gov/project-details/11567215","https://reporter.nih.gov/project-details/11567215")</f>
        <v>https://reporter.nih.gov/project-details/11567215</v>
      </c>
    </row>
    <row r="176">
      <c r="A176" t="inlineStr">
        <is>
          <t xml:space="preserve">2026-08-27</t>
        </is>
      </c>
      <c r="B176" t="inlineStr">
        <is>
          <t xml:space="preserve">1R01MH141757-01</t>
        </is>
      </c>
      <c r="C176" t="inlineStr">
        <is>
          <t xml:space="preserve">Balancing flexibility and stability during learning and task switching</t>
        </is>
      </c>
      <c r="D176" t="inlineStr">
        <is>
          <t xml:space="preserve">Marlene Rochelle Cohen</t>
        </is>
      </c>
      <c r="E176" t="inlineStr">
        <is>
          <t xml:space="preserve">Marlene Rochelle Cohen</t>
        </is>
      </c>
      <c r="F176" t="inlineStr">
        <is>
          <t xml:space="preserve">UNIVERSITY OF CHICAGO</t>
        </is>
      </c>
      <c r="G176" t="inlineStr">
        <is>
          <t xml:space="preserve">CHICAGO</t>
        </is>
      </c>
      <c r="H176" t="inlineStr">
        <is>
          <t xml:space="preserve">IL</t>
        </is>
      </c>
      <c r="I176" t="inlineStr">
        <is>
          <t xml:space="preserve">NIMH</t>
        </is>
      </c>
      <c r="J176" t="inlineStr">
        <is>
          <t xml:space="preserve">National Institute of Mental Health</t>
        </is>
      </c>
      <c r="K176" t="inlineStr">
        <is>
          <t xml:space="preserve">2026</t>
        </is>
      </c>
      <c r="L176" t="inlineStr">
        <is>
          <t xml:space="preserve">656448</t>
        </is>
      </c>
      <c r="M176" t="inlineStr">
        <is>
          <t xml:space="preserve">2026-08-25</t>
        </is>
      </c>
      <c r="N176" t="inlineStr">
        <is>
          <t xml:space="preserve">2031-04-30</t>
        </is>
      </c>
      <c r="O176" t="inlineStr">
        <is>
          <t xml:space="preserve"/>
        </is>
      </c>
      <c r="P176" s="3" t="str">
        <f>HYPERLINK("https://reporter.nih.gov/project-details/11235318","https://reporter.nih.gov/project-details/11235318")</f>
        <v>https://reporter.nih.gov/project-details/11235318</v>
      </c>
    </row>
    <row r="177">
      <c r="A177" t="inlineStr">
        <is>
          <t xml:space="preserve">2026-08-26</t>
        </is>
      </c>
      <c r="B177" t="inlineStr">
        <is>
          <t xml:space="preserve">5F31NS143338-02</t>
        </is>
      </c>
      <c r="C177" t="inlineStr">
        <is>
          <t xml:space="preserve">Exploring the Subthalamic Nucleus Role in Variability Regulation</t>
        </is>
      </c>
      <c r="D177" t="inlineStr">
        <is>
          <t xml:space="preserve">Oluwatomiwa Oladunni</t>
        </is>
      </c>
      <c r="E177" t="inlineStr">
        <is>
          <t xml:space="preserve">Oluwatomiwa Oladunni</t>
        </is>
      </c>
      <c r="F177" t="inlineStr">
        <is>
          <t xml:space="preserve">UNIVERSITY OF MARYLAND BALTIMORE</t>
        </is>
      </c>
      <c r="G177" t="inlineStr">
        <is>
          <t xml:space="preserve">BALTIMORE</t>
        </is>
      </c>
      <c r="H177" t="inlineStr">
        <is>
          <t xml:space="preserve">MD</t>
        </is>
      </c>
      <c r="I177" t="inlineStr">
        <is>
          <t xml:space="preserve">NINDS</t>
        </is>
      </c>
      <c r="J177" t="inlineStr">
        <is>
          <t xml:space="preserve">National Institute of Neurological Disorders and Stroke</t>
        </is>
      </c>
      <c r="K177" t="inlineStr">
        <is>
          <t xml:space="preserve">2026</t>
        </is>
      </c>
      <c r="L177" t="inlineStr">
        <is>
          <t xml:space="preserve">43040</t>
        </is>
      </c>
      <c r="M177" t="inlineStr">
        <is>
          <t xml:space="preserve">2025-09-01</t>
        </is>
      </c>
      <c r="N177" t="inlineStr">
        <is>
          <t xml:space="preserve">2027-08-31</t>
        </is>
      </c>
      <c r="O177" t="inlineStr">
        <is>
          <t xml:space="preserve">Small molecule, Behavioral</t>
        </is>
      </c>
      <c r="P177" s="3" t="str">
        <f>HYPERLINK("https://reporter.nih.gov/project-details/11411094","https://reporter.nih.gov/project-details/11411094")</f>
        <v>https://reporter.nih.gov/project-details/11411094</v>
      </c>
    </row>
    <row r="178">
      <c r="A178" t="inlineStr">
        <is>
          <t xml:space="preserve">2026-08-26</t>
        </is>
      </c>
      <c r="B178" t="inlineStr">
        <is>
          <t xml:space="preserve">1R43NS147645-01</t>
        </is>
      </c>
      <c r="C178" t="inlineStr">
        <is>
          <t xml:space="preserve">Selection of a Lead Candidate for the Development of an ASO Therapeutic for NF1 Cognitive and Social Deficits</t>
        </is>
      </c>
      <c r="D178" t="inlineStr">
        <is>
          <t xml:space="preserve">Michelle Mattson-Hoss</t>
        </is>
      </c>
      <c r="E178" t="inlineStr">
        <is>
          <t xml:space="preserve">Michelle Mattson-Hoss</t>
        </is>
      </c>
      <c r="F178" t="inlineStr">
        <is>
          <t xml:space="preserve">INFIXION BIOSCIENCE, INC.</t>
        </is>
      </c>
      <c r="G178" t="inlineStr">
        <is>
          <t xml:space="preserve">ESCONDIDO</t>
        </is>
      </c>
      <c r="H178" t="inlineStr">
        <is>
          <t xml:space="preserve">CA</t>
        </is>
      </c>
      <c r="I178" t="inlineStr">
        <is>
          <t xml:space="preserve">NINDS</t>
        </is>
      </c>
      <c r="J178" t="inlineStr">
        <is>
          <t xml:space="preserve">National Institute of Neurological Disorders and Stroke</t>
        </is>
      </c>
      <c r="K178" t="inlineStr">
        <is>
          <t xml:space="preserve">2026</t>
        </is>
      </c>
      <c r="L178" t="inlineStr">
        <is>
          <t xml:space="preserve">478799</t>
        </is>
      </c>
      <c r="M178" t="inlineStr">
        <is>
          <t xml:space="preserve">2026-09-01</t>
        </is>
      </c>
      <c r="N178" t="inlineStr">
        <is>
          <t xml:space="preserve">2028-08-31</t>
        </is>
      </c>
      <c r="O178" t="inlineStr">
        <is>
          <t xml:space="preserve">Nucleic acid therapeutics, Small molecule</t>
        </is>
      </c>
      <c r="P178" s="3" t="str">
        <f>HYPERLINK("https://reporter.nih.gov/project-details/11316689","https://reporter.nih.gov/project-details/11316689")</f>
        <v>https://reporter.nih.gov/project-details/11316689</v>
      </c>
    </row>
    <row r="179">
      <c r="A179" t="inlineStr">
        <is>
          <t xml:space="preserve">2026-08-26</t>
        </is>
      </c>
      <c r="B179" t="inlineStr">
        <is>
          <t xml:space="preserve">1R01MH142548-01</t>
        </is>
      </c>
      <c r="C179" t="inlineStr">
        <is>
          <t xml:space="preserve">Pediatricians Empowering Parents (PEP) Talk: Creating A Ripple Effect in Primary Care to Facilitate Access to Early Intervention and School-Based Services for Children with Autism</t>
        </is>
      </c>
      <c r="D179" t="inlineStr">
        <is>
          <t xml:space="preserve">Robin P. Kochel</t>
        </is>
      </c>
      <c r="E179" t="inlineStr">
        <is>
          <t xml:space="preserve">Robin P. Kochel; Sarah Stanford Mire</t>
        </is>
      </c>
      <c r="F179" t="inlineStr">
        <is>
          <t xml:space="preserve">BAYLOR COLLEGE OF MEDICINE</t>
        </is>
      </c>
      <c r="G179" t="inlineStr">
        <is>
          <t xml:space="preserve">HOUSTON</t>
        </is>
      </c>
      <c r="H179" t="inlineStr">
        <is>
          <t xml:space="preserve">TX</t>
        </is>
      </c>
      <c r="I179" t="inlineStr">
        <is>
          <t xml:space="preserve">NIMH</t>
        </is>
      </c>
      <c r="J179" t="inlineStr">
        <is>
          <t xml:space="preserve">National Institute of Mental Health</t>
        </is>
      </c>
      <c r="K179" t="inlineStr">
        <is>
          <t xml:space="preserve">2026</t>
        </is>
      </c>
      <c r="L179" t="inlineStr">
        <is>
          <t xml:space="preserve">406445</t>
        </is>
      </c>
      <c r="M179" t="inlineStr">
        <is>
          <t xml:space="preserve">2026-08-24</t>
        </is>
      </c>
      <c r="N179" t="inlineStr">
        <is>
          <t xml:space="preserve">2029-04-30</t>
        </is>
      </c>
      <c r="O179" t="inlineStr">
        <is>
          <t xml:space="preserve">Behavioral</t>
        </is>
      </c>
      <c r="P179" s="3" t="str">
        <f>HYPERLINK("https://reporter.nih.gov/project-details/11285977","https://reporter.nih.gov/project-details/11285977")</f>
        <v>https://reporter.nih.gov/project-details/11285977</v>
      </c>
    </row>
    <row r="180">
      <c r="A180" t="inlineStr">
        <is>
          <t xml:space="preserve">2026-08-26</t>
        </is>
      </c>
      <c r="B180" t="inlineStr">
        <is>
          <t xml:space="preserve">1R01MH139612-01A1</t>
        </is>
      </c>
      <c r="C180" t="inlineStr">
        <is>
          <t xml:space="preserve">Studying FXS-associated Hypervascularization and BBB Defects Using BBB Assembloids: Unveiling the Underlying Molecular Mechanisms</t>
        </is>
      </c>
      <c r="D180" t="inlineStr">
        <is>
          <t xml:space="preserve">Ziyuan Guo</t>
        </is>
      </c>
      <c r="E180" t="inlineStr">
        <is>
          <t xml:space="preserve">Ziyuan Guo</t>
        </is>
      </c>
      <c r="F180" t="inlineStr">
        <is>
          <t xml:space="preserve">CINCINNATI CHILDRENS HOSP MED CTR</t>
        </is>
      </c>
      <c r="G180" t="inlineStr">
        <is>
          <t xml:space="preserve">CINCINNATI</t>
        </is>
      </c>
      <c r="H180" t="inlineStr">
        <is>
          <t xml:space="preserve">OH</t>
        </is>
      </c>
      <c r="I180" t="inlineStr">
        <is>
          <t xml:space="preserve">NIMH</t>
        </is>
      </c>
      <c r="J180" t="inlineStr">
        <is>
          <t xml:space="preserve">National Institute of Mental Health</t>
        </is>
      </c>
      <c r="K180" t="inlineStr">
        <is>
          <t xml:space="preserve">2026</t>
        </is>
      </c>
      <c r="L180" t="inlineStr">
        <is>
          <t xml:space="preserve">723817</t>
        </is>
      </c>
      <c r="M180" t="inlineStr">
        <is>
          <t xml:space="preserve">2026-08-24</t>
        </is>
      </c>
      <c r="N180" t="inlineStr">
        <is>
          <t xml:space="preserve">2031-05-31</t>
        </is>
      </c>
      <c r="O180" t="inlineStr">
        <is>
          <t xml:space="preserve">Gene therapy, Peptide, Small molecule</t>
        </is>
      </c>
      <c r="P180" s="3" t="str">
        <f>HYPERLINK("https://reporter.nih.gov/project-details/11292587","https://reporter.nih.gov/project-details/11292587")</f>
        <v>https://reporter.nih.gov/project-details/11292587</v>
      </c>
    </row>
    <row r="181">
      <c r="A181" t="inlineStr">
        <is>
          <t xml:space="preserve">2026-08-26</t>
        </is>
      </c>
      <c r="B181" t="inlineStr">
        <is>
          <t xml:space="preserve">5R01NS135574-04</t>
        </is>
      </c>
      <c r="C181" t="inlineStr">
        <is>
          <t xml:space="preserve">SCH: Using Data-Driven Computational Biomechanics to Disentangle Brain Structural Commonality, Variability, and Abnormality in ASD</t>
        </is>
      </c>
      <c r="D181" t="inlineStr">
        <is>
          <t xml:space="preserve">Xianqiao Wang</t>
        </is>
      </c>
      <c r="E181" t="inlineStr">
        <is>
          <t xml:space="preserve">Xianqiao Wang</t>
        </is>
      </c>
      <c r="F181" t="inlineStr">
        <is>
          <t xml:space="preserve">UNIVERSITY OF GEORGIA</t>
        </is>
      </c>
      <c r="G181" t="inlineStr">
        <is>
          <t xml:space="preserve">ATHENS</t>
        </is>
      </c>
      <c r="H181" t="inlineStr">
        <is>
          <t xml:space="preserve">GA</t>
        </is>
      </c>
      <c r="I181" t="inlineStr">
        <is>
          <t xml:space="preserve">NINDS</t>
        </is>
      </c>
      <c r="J181" t="inlineStr">
        <is>
          <t xml:space="preserve">National Institute of Neurological Disorders and Stroke</t>
        </is>
      </c>
      <c r="K181" t="inlineStr">
        <is>
          <t xml:space="preserve">2026</t>
        </is>
      </c>
      <c r="L181" t="inlineStr">
        <is>
          <t xml:space="preserve">280725</t>
        </is>
      </c>
      <c r="M181" t="inlineStr">
        <is>
          <t xml:space="preserve">2023-09-01</t>
        </is>
      </c>
      <c r="N181" t="inlineStr">
        <is>
          <t xml:space="preserve">2027-08-31</t>
        </is>
      </c>
      <c r="O181" t="inlineStr">
        <is>
          <t xml:space="preserve"/>
        </is>
      </c>
      <c r="P181" s="3" t="str">
        <f>HYPERLINK("https://reporter.nih.gov/project-details/11402744","https://reporter.nih.gov/project-details/11402744")</f>
        <v>https://reporter.nih.gov/project-details/11402744</v>
      </c>
    </row>
    <row r="182">
      <c r="A182" t="inlineStr">
        <is>
          <t xml:space="preserve">2026-08-26</t>
        </is>
      </c>
      <c r="B182" t="inlineStr">
        <is>
          <t xml:space="preserve">1R21NS144529-01A1</t>
        </is>
      </c>
      <c r="C182" t="inlineStr">
        <is>
          <t xml:space="preserve">Defining the potential of GSK3 inhibition in correcting the molecular phenotypes of CTNNB1 syndrome patient derived glutamatergic neurons.</t>
        </is>
      </c>
      <c r="D182" t="inlineStr">
        <is>
          <t xml:space="preserve">Jonathan Alexander</t>
        </is>
      </c>
      <c r="E182" t="inlineStr">
        <is>
          <t xml:space="preserve">Jonathan Alexander</t>
        </is>
      </c>
      <c r="F182" t="inlineStr">
        <is>
          <t xml:space="preserve">TUFTS UNIVERSITY BOSTON</t>
        </is>
      </c>
      <c r="G182" t="inlineStr">
        <is>
          <t xml:space="preserve">BOSTON</t>
        </is>
      </c>
      <c r="H182" t="inlineStr">
        <is>
          <t xml:space="preserve">MA</t>
        </is>
      </c>
      <c r="I182" t="inlineStr">
        <is>
          <t xml:space="preserve">NINDS</t>
        </is>
      </c>
      <c r="J182" t="inlineStr">
        <is>
          <t xml:space="preserve">National Institute of Neurological Disorders and Stroke</t>
        </is>
      </c>
      <c r="K182" t="inlineStr">
        <is>
          <t xml:space="preserve">2026</t>
        </is>
      </c>
      <c r="L182" t="inlineStr">
        <is>
          <t xml:space="preserve">453750</t>
        </is>
      </c>
      <c r="M182" t="inlineStr">
        <is>
          <t xml:space="preserve">2026-09-01</t>
        </is>
      </c>
      <c r="N182" t="inlineStr">
        <is>
          <t xml:space="preserve">2028-08-31</t>
        </is>
      </c>
      <c r="O182" t="inlineStr">
        <is>
          <t xml:space="preserve">Gene therapy, Peptide, Small molecule</t>
        </is>
      </c>
      <c r="P182" s="3" t="str">
        <f>HYPERLINK("https://reporter.nih.gov/project-details/11453845","https://reporter.nih.gov/project-details/11453845")</f>
        <v>https://reporter.nih.gov/project-details/11453845</v>
      </c>
    </row>
    <row r="183">
      <c r="A183" t="inlineStr">
        <is>
          <t xml:space="preserve">2026-08-26</t>
        </is>
      </c>
      <c r="B183" t="inlineStr">
        <is>
          <t xml:space="preserve">1DP2ES039816-01</t>
        </is>
      </c>
      <c r="C183" t="inlineStr">
        <is>
          <t xml:space="preserve">Reconstructing the Maternal-Fetal Interface: A Placenta–Brain Axis on a Chip Platform to Transform Models of Prenatal Neurotoxicity</t>
        </is>
      </c>
      <c r="D183" t="inlineStr">
        <is>
          <t xml:space="preserve">Melissa McKenzie Campbell</t>
        </is>
      </c>
      <c r="E183" t="inlineStr">
        <is>
          <t xml:space="preserve">Melissa McKenzie Campbell</t>
        </is>
      </c>
      <c r="F183" t="inlineStr">
        <is>
          <t xml:space="preserve">UNIVERSITY OF CALIFORNIA, SAN DIEGO</t>
        </is>
      </c>
      <c r="G183" t="inlineStr">
        <is>
          <t xml:space="preserve">LA JOLLA</t>
        </is>
      </c>
      <c r="H183" t="inlineStr">
        <is>
          <t xml:space="preserve">CA</t>
        </is>
      </c>
      <c r="I183" t="inlineStr">
        <is>
          <t xml:space="preserve">NIEHS</t>
        </is>
      </c>
      <c r="J183" t="inlineStr">
        <is>
          <t xml:space="preserve">National Institute of Environmental Health Sciences</t>
        </is>
      </c>
      <c r="K183" t="inlineStr">
        <is>
          <t xml:space="preserve">2026</t>
        </is>
      </c>
      <c r="L183" t="inlineStr">
        <is>
          <t xml:space="preserve">760000</t>
        </is>
      </c>
      <c r="M183" t="inlineStr">
        <is>
          <t xml:space="preserve">2026-08-26</t>
        </is>
      </c>
      <c r="N183" t="inlineStr">
        <is>
          <t xml:space="preserve">2031-07-31</t>
        </is>
      </c>
      <c r="O183" t="inlineStr">
        <is>
          <t xml:space="preserve">Small molecule</t>
        </is>
      </c>
      <c r="P183" s="3" t="str">
        <f>HYPERLINK("https://reporter.nih.gov/project-details/11396592","https://reporter.nih.gov/project-details/11396592")</f>
        <v>https://reporter.nih.gov/project-details/11396592</v>
      </c>
    </row>
    <row r="184">
      <c r="A184" t="inlineStr">
        <is>
          <t xml:space="preserve">2026-08-26</t>
        </is>
      </c>
      <c r="B184" t="inlineStr">
        <is>
          <t xml:space="preserve">5K08MH128665-05</t>
        </is>
      </c>
      <c r="C184" t="inlineStr">
        <is>
          <t xml:space="preserve">Neurogenomic Investigations of Trichotillomania and Excoriation Disorder</t>
        </is>
      </c>
      <c r="D184" t="inlineStr">
        <is>
          <t xml:space="preserve">Emily Hunt Olfson</t>
        </is>
      </c>
      <c r="E184" t="inlineStr">
        <is>
          <t xml:space="preserve">Emily Hunt Olfson</t>
        </is>
      </c>
      <c r="F184" t="inlineStr">
        <is>
          <t xml:space="preserve">YALE UNIVERSITY</t>
        </is>
      </c>
      <c r="G184" t="inlineStr">
        <is>
          <t xml:space="preserve">NEW HAVEN</t>
        </is>
      </c>
      <c r="H184" t="inlineStr">
        <is>
          <t xml:space="preserve">CT</t>
        </is>
      </c>
      <c r="I184" t="inlineStr">
        <is>
          <t xml:space="preserve">NIMH</t>
        </is>
      </c>
      <c r="J184" t="inlineStr">
        <is>
          <t xml:space="preserve">National Institute of Mental Health</t>
        </is>
      </c>
      <c r="K184" t="inlineStr">
        <is>
          <t xml:space="preserve">2026</t>
        </is>
      </c>
      <c r="L184" t="inlineStr">
        <is>
          <t xml:space="preserve">193860</t>
        </is>
      </c>
      <c r="M184" t="inlineStr">
        <is>
          <t xml:space="preserve">2022-07-01</t>
        </is>
      </c>
      <c r="N184" t="inlineStr">
        <is>
          <t xml:space="preserve">2027-06-30</t>
        </is>
      </c>
      <c r="O184" t="inlineStr">
        <is>
          <t xml:space="preserve">Small molecule, Behavioral</t>
        </is>
      </c>
      <c r="P184" s="3" t="str">
        <f>HYPERLINK("https://reporter.nih.gov/project-details/11359714","https://reporter.nih.gov/project-details/11359714")</f>
        <v>https://reporter.nih.gov/project-details/11359714</v>
      </c>
    </row>
    <row r="185">
      <c r="A185" t="inlineStr">
        <is>
          <t xml:space="preserve">2026-08-26</t>
        </is>
      </c>
      <c r="B185" t="inlineStr">
        <is>
          <t xml:space="preserve">1R01NS146844-01A1</t>
        </is>
      </c>
      <c r="C185" t="inlineStr">
        <is>
          <t xml:space="preserve">Unraveling the Cellular and Molecular Mechanisms of Cerebellar Hemisphere Development</t>
        </is>
      </c>
      <c r="D185" t="inlineStr">
        <is>
          <t xml:space="preserve">JAMES Y.H LI</t>
        </is>
      </c>
      <c r="E185" t="inlineStr">
        <is>
          <t xml:space="preserve">JAMES Y.H LI</t>
        </is>
      </c>
      <c r="F185" t="inlineStr">
        <is>
          <t xml:space="preserve">UNIVERSITY OF CONNECTICUT SCH OF MED/DNT</t>
        </is>
      </c>
      <c r="G185" t="inlineStr">
        <is>
          <t xml:space="preserve">FARMINGTON</t>
        </is>
      </c>
      <c r="H185" t="inlineStr">
        <is>
          <t xml:space="preserve">CT</t>
        </is>
      </c>
      <c r="I185" t="inlineStr">
        <is>
          <t xml:space="preserve">NINDS</t>
        </is>
      </c>
      <c r="J185" t="inlineStr">
        <is>
          <t xml:space="preserve">National Institute of Neurological Disorders and Stroke</t>
        </is>
      </c>
      <c r="K185" t="inlineStr">
        <is>
          <t xml:space="preserve">2026</t>
        </is>
      </c>
      <c r="L185" t="inlineStr">
        <is>
          <t xml:space="preserve">660625</t>
        </is>
      </c>
      <c r="M185" t="inlineStr">
        <is>
          <t xml:space="preserve">2026-09-01</t>
        </is>
      </c>
      <c r="N185" t="inlineStr">
        <is>
          <t xml:space="preserve">2031-06-30</t>
        </is>
      </c>
      <c r="O185" t="inlineStr">
        <is>
          <t xml:space="preserve">Small molecule</t>
        </is>
      </c>
      <c r="P185" s="3" t="str">
        <f>HYPERLINK("https://reporter.nih.gov/project-details/11456216","https://reporter.nih.gov/project-details/11456216")</f>
        <v>https://reporter.nih.gov/project-details/11456216</v>
      </c>
    </row>
    <row r="186">
      <c r="A186" t="inlineStr">
        <is>
          <t xml:space="preserve">2026-08-26</t>
        </is>
      </c>
      <c r="B186" t="inlineStr">
        <is>
          <t xml:space="preserve">5K23MH141316-02</t>
        </is>
      </c>
      <c r="C186" t="inlineStr">
        <is>
          <t xml:space="preserve">Improving Caregiver Engagement inEarly Interventions for Autistic Children Using a Mobile Health Approach</t>
        </is>
      </c>
      <c r="D186" t="inlineStr">
        <is>
          <t xml:space="preserve">Yue Yu</t>
        </is>
      </c>
      <c r="E186" t="inlineStr">
        <is>
          <t xml:space="preserve">Yue Yu</t>
        </is>
      </c>
      <c r="F186" t="inlineStr">
        <is>
          <t xml:space="preserve">UNIVERSITY OF CALIFORNIA AT DAVIS</t>
        </is>
      </c>
      <c r="G186" t="inlineStr">
        <is>
          <t xml:space="preserve">DAVIS</t>
        </is>
      </c>
      <c r="H186" t="inlineStr">
        <is>
          <t xml:space="preserve">CA</t>
        </is>
      </c>
      <c r="I186" t="inlineStr">
        <is>
          <t xml:space="preserve">NIMH</t>
        </is>
      </c>
      <c r="J186" t="inlineStr">
        <is>
          <t xml:space="preserve">National Institute of Mental Health</t>
        </is>
      </c>
      <c r="K186" t="inlineStr">
        <is>
          <t xml:space="preserve">2026</t>
        </is>
      </c>
      <c r="L186" t="inlineStr">
        <is>
          <t xml:space="preserve">191916</t>
        </is>
      </c>
      <c r="M186" t="inlineStr">
        <is>
          <t xml:space="preserve">2025-09-10</t>
        </is>
      </c>
      <c r="N186" t="inlineStr">
        <is>
          <t xml:space="preserve">2029-08-31</t>
        </is>
      </c>
      <c r="O186" t="inlineStr">
        <is>
          <t xml:space="preserve">Behavioral</t>
        </is>
      </c>
      <c r="P186" s="3" t="str">
        <f>HYPERLINK("https://reporter.nih.gov/project-details/11413659","https://reporter.nih.gov/project-details/11413659")</f>
        <v>https://reporter.nih.gov/project-details/11413659</v>
      </c>
    </row>
    <row r="187">
      <c r="A187" t="inlineStr">
        <is>
          <t xml:space="preserve">2026-08-26</t>
        </is>
      </c>
      <c r="B187" t="inlineStr">
        <is>
          <t xml:space="preserve">1F32GM167162-01</t>
        </is>
      </c>
      <c r="C187" t="inlineStr">
        <is>
          <t xml:space="preserve">Elucidating the mechanisms of FMRP-mediated translation repression through structural and biochemical analyses of FMRP-bound mRNPs</t>
        </is>
      </c>
      <c r="D187" t="inlineStr">
        <is>
          <t xml:space="preserve">Jordana Samantha Schmierer</t>
        </is>
      </c>
      <c r="E187" t="inlineStr">
        <is>
          <t xml:space="preserve">Jordana Samantha Schmierer</t>
        </is>
      </c>
      <c r="F187" t="inlineStr">
        <is>
          <t xml:space="preserve">UNIVERSITY OF ROCHESTER</t>
        </is>
      </c>
      <c r="G187" t="inlineStr">
        <is>
          <t xml:space="preserve">ROCHESTER</t>
        </is>
      </c>
      <c r="H187" t="inlineStr">
        <is>
          <t xml:space="preserve">NY</t>
        </is>
      </c>
      <c r="I187" t="inlineStr">
        <is>
          <t xml:space="preserve">NIGMS</t>
        </is>
      </c>
      <c r="J187" t="inlineStr">
        <is>
          <t xml:space="preserve">National Institute of General Medical Sciences</t>
        </is>
      </c>
      <c r="K187" t="inlineStr">
        <is>
          <t xml:space="preserve">2026</t>
        </is>
      </c>
      <c r="L187" t="inlineStr">
        <is>
          <t xml:space="preserve">76300</t>
        </is>
      </c>
      <c r="M187" t="inlineStr">
        <is>
          <t xml:space="preserve">2026-09-01</t>
        </is>
      </c>
      <c r="N187" t="inlineStr">
        <is>
          <t xml:space="preserve">2029-08-31</t>
        </is>
      </c>
      <c r="O187" t="inlineStr">
        <is>
          <t xml:space="preserve">Nucleic acid therapeutics, Peptide</t>
        </is>
      </c>
      <c r="P187" s="3" t="str">
        <f>HYPERLINK("https://reporter.nih.gov/project-details/11459893","https://reporter.nih.gov/project-details/11459893")</f>
        <v>https://reporter.nih.gov/project-details/11459893</v>
      </c>
    </row>
    <row r="188">
      <c r="A188" t="inlineStr">
        <is>
          <t xml:space="preserve">2026-08-26</t>
        </is>
      </c>
      <c r="B188" t="inlineStr">
        <is>
          <t xml:space="preserve">5R01ES034554-05</t>
        </is>
      </c>
      <c r="C188" t="inlineStr">
        <is>
          <t xml:space="preserve">GEARs Combining advances in Genomics and Environmental science to accelerate Actionable Research and practice in ASD</t>
        </is>
      </c>
      <c r="D188" t="inlineStr">
        <is>
          <t xml:space="preserve">HEATHER E VOLK</t>
        </is>
      </c>
      <c r="E188" t="inlineStr">
        <is>
          <t xml:space="preserve">Christine Ladd-Acosta; HEATHER E VOLK</t>
        </is>
      </c>
      <c r="F188" t="inlineStr">
        <is>
          <t xml:space="preserve">JOHNS HOPKINS UNIVERSITY</t>
        </is>
      </c>
      <c r="G188" t="inlineStr">
        <is>
          <t xml:space="preserve">BALTIMORE</t>
        </is>
      </c>
      <c r="H188" t="inlineStr">
        <is>
          <t xml:space="preserve">MD</t>
        </is>
      </c>
      <c r="I188" t="inlineStr">
        <is>
          <t xml:space="preserve">NIEHS</t>
        </is>
      </c>
      <c r="J188" t="inlineStr">
        <is>
          <t xml:space="preserve">National Institute of Environmental Health Sciences</t>
        </is>
      </c>
      <c r="K188" t="inlineStr">
        <is>
          <t xml:space="preserve">2026</t>
        </is>
      </c>
      <c r="L188" t="inlineStr">
        <is>
          <t xml:space="preserve">547686</t>
        </is>
      </c>
      <c r="M188" t="inlineStr">
        <is>
          <t xml:space="preserve">2022-09-06</t>
        </is>
      </c>
      <c r="N188" t="inlineStr">
        <is>
          <t xml:space="preserve">2028-08-31</t>
        </is>
      </c>
      <c r="O188" t="inlineStr">
        <is>
          <t xml:space="preserve"/>
        </is>
      </c>
      <c r="P188" s="3" t="str">
        <f>HYPERLINK("https://reporter.nih.gov/project-details/11408611","https://reporter.nih.gov/project-details/11408611")</f>
        <v>https://reporter.nih.gov/project-details/11408611</v>
      </c>
    </row>
    <row r="189">
      <c r="A189" t="inlineStr">
        <is>
          <t xml:space="preserve">2026-08-26</t>
        </is>
      </c>
      <c r="B189" t="inlineStr">
        <is>
          <t xml:space="preserve">1R01EY038362-01A1</t>
        </is>
      </c>
      <c r="C189" t="inlineStr">
        <is>
          <t xml:space="preserve">Anticipation and integration in the primate visual system</t>
        </is>
      </c>
      <c r="D189" t="inlineStr">
        <is>
          <t xml:space="preserve">Robbe L Goris</t>
        </is>
      </c>
      <c r="E189" t="inlineStr">
        <is>
          <t xml:space="preserve">Robbe L Goris; Alexander Huth</t>
        </is>
      </c>
      <c r="F189" t="inlineStr">
        <is>
          <t xml:space="preserve">UNIVERSITY OF TEXAS AT AUSTIN</t>
        </is>
      </c>
      <c r="G189" t="inlineStr">
        <is>
          <t xml:space="preserve">AUSTIN</t>
        </is>
      </c>
      <c r="H189" t="inlineStr">
        <is>
          <t xml:space="preserve">TX</t>
        </is>
      </c>
      <c r="I189" t="inlineStr">
        <is>
          <t xml:space="preserve">NEI</t>
        </is>
      </c>
      <c r="J189" t="inlineStr">
        <is>
          <t xml:space="preserve">National Eye Institute</t>
        </is>
      </c>
      <c r="K189" t="inlineStr">
        <is>
          <t xml:space="preserve">2026</t>
        </is>
      </c>
      <c r="L189" t="inlineStr">
        <is>
          <t xml:space="preserve">451871</t>
        </is>
      </c>
      <c r="M189" t="inlineStr">
        <is>
          <t xml:space="preserve">2026-09-01</t>
        </is>
      </c>
      <c r="N189" t="inlineStr">
        <is>
          <t xml:space="preserve">2031-03-31</t>
        </is>
      </c>
      <c r="O189" t="inlineStr">
        <is>
          <t xml:space="preserve"/>
        </is>
      </c>
      <c r="P189" s="3" t="str">
        <f>HYPERLINK("https://reporter.nih.gov/project-details/11450647","https://reporter.nih.gov/project-details/11450647")</f>
        <v>https://reporter.nih.gov/project-details/11450647</v>
      </c>
    </row>
    <row r="190">
      <c r="A190" t="inlineStr">
        <is>
          <t xml:space="preserve">2026-08-26</t>
        </is>
      </c>
      <c r="B190" t="inlineStr">
        <is>
          <t xml:space="preserve">5F31MH138092-02</t>
        </is>
      </c>
      <c r="C190" t="inlineStr">
        <is>
          <t xml:space="preserve">Brain Aging in Adults with Autism Spectrum Disorder</t>
        </is>
      </c>
      <c r="D190" t="inlineStr">
        <is>
          <t xml:space="preserve">Evan Haley</t>
        </is>
      </c>
      <c r="E190" t="inlineStr">
        <is>
          <t xml:space="preserve">Evan Haley</t>
        </is>
      </c>
      <c r="F190" t="inlineStr">
        <is>
          <t xml:space="preserve">UNIVERSITY OF CALIFORNIA AT DAVIS</t>
        </is>
      </c>
      <c r="G190" t="inlineStr">
        <is>
          <t xml:space="preserve">DAVIS</t>
        </is>
      </c>
      <c r="H190" t="inlineStr">
        <is>
          <t xml:space="preserve">CA</t>
        </is>
      </c>
      <c r="I190" t="inlineStr">
        <is>
          <t xml:space="preserve">NIMH</t>
        </is>
      </c>
      <c r="J190" t="inlineStr">
        <is>
          <t xml:space="preserve">National Institute of Mental Health</t>
        </is>
      </c>
      <c r="K190" t="inlineStr">
        <is>
          <t xml:space="preserve">2026</t>
        </is>
      </c>
      <c r="L190" t="inlineStr">
        <is>
          <t xml:space="preserve">43461</t>
        </is>
      </c>
      <c r="M190" t="inlineStr">
        <is>
          <t xml:space="preserve">2025-09-25</t>
        </is>
      </c>
      <c r="N190" t="inlineStr">
        <is>
          <t xml:space="preserve">2027-09-24</t>
        </is>
      </c>
      <c r="O190" t="inlineStr">
        <is>
          <t xml:space="preserve"/>
        </is>
      </c>
      <c r="P190" s="3" t="str">
        <f>HYPERLINK("https://reporter.nih.gov/project-details/11327232","https://reporter.nih.gov/project-details/11327232")</f>
        <v>https://reporter.nih.gov/project-details/11327232</v>
      </c>
    </row>
    <row r="191">
      <c r="A191" t="inlineStr">
        <is>
          <t xml:space="preserve">2026-08-25</t>
        </is>
      </c>
      <c r="B191" t="inlineStr">
        <is>
          <t xml:space="preserve">4RF1NS135580-02</t>
        </is>
      </c>
      <c r="C191" t="inlineStr">
        <is>
          <t xml:space="preserve">Validation of Prenatal Rabbit Hypoxia Ischemia as a Model of Cerebral Palsy-induced Pain</t>
        </is>
      </c>
      <c r="D191" t="inlineStr">
        <is>
          <t xml:space="preserve">Katharina Ann Quinlan</t>
        </is>
      </c>
      <c r="E191" t="inlineStr">
        <is>
          <t xml:space="preserve">MEGAN R DETLOFF; Katharina Ann Quinlan</t>
        </is>
      </c>
      <c r="F191" t="inlineStr">
        <is>
          <t xml:space="preserve">UNIVERSITY OF RHODE ISLAND</t>
        </is>
      </c>
      <c r="G191" t="inlineStr">
        <is>
          <t xml:space="preserve">KINGSTON</t>
        </is>
      </c>
      <c r="H191" t="inlineStr">
        <is>
          <t xml:space="preserve">RI</t>
        </is>
      </c>
      <c r="I191" t="inlineStr">
        <is>
          <t xml:space="preserve">NINDS</t>
        </is>
      </c>
      <c r="J191" t="inlineStr">
        <is>
          <t xml:space="preserve">National Institute of Neurological Disorders and Stroke</t>
        </is>
      </c>
      <c r="K191" t="inlineStr">
        <is>
          <t xml:space="preserve">2026</t>
        </is>
      </c>
      <c r="L191" t="inlineStr">
        <is>
          <t xml:space="preserve">1852954</t>
        </is>
      </c>
      <c r="M191" t="inlineStr">
        <is>
          <t xml:space="preserve">2023-09-19</t>
        </is>
      </c>
      <c r="N191" t="inlineStr">
        <is>
          <t xml:space="preserve">2028-08-31</t>
        </is>
      </c>
      <c r="O191" t="inlineStr">
        <is>
          <t xml:space="preserve">Small molecule</t>
        </is>
      </c>
      <c r="P191" s="3" t="str">
        <f>HYPERLINK("https://reporter.nih.gov/project-details/10974004","https://reporter.nih.gov/project-details/10974004")</f>
        <v>https://reporter.nih.gov/project-details/10974004</v>
      </c>
    </row>
    <row r="192">
      <c r="A192" t="inlineStr">
        <is>
          <t xml:space="preserve">2026-08-25</t>
        </is>
      </c>
      <c r="B192" t="inlineStr">
        <is>
          <t xml:space="preserve">5K08NS133292-03</t>
        </is>
      </c>
      <c r="C192" t="inlineStr">
        <is>
          <t xml:space="preserve">Discovering the cell type basis of the IT projection system and its dysregulation after perinatal HIE</t>
        </is>
      </c>
      <c r="D192" t="inlineStr">
        <is>
          <t xml:space="preserve">Jeffrey B Russ</t>
        </is>
      </c>
      <c r="E192" t="inlineStr">
        <is>
          <t xml:space="preserve">Jeffrey B Russ</t>
        </is>
      </c>
      <c r="F192" t="inlineStr">
        <is>
          <t xml:space="preserve">DUKE UNIVERSITY</t>
        </is>
      </c>
      <c r="G192" t="inlineStr">
        <is>
          <t xml:space="preserve">DURHAM</t>
        </is>
      </c>
      <c r="H192" t="inlineStr">
        <is>
          <t xml:space="preserve">NC</t>
        </is>
      </c>
      <c r="I192" t="inlineStr">
        <is>
          <t xml:space="preserve">NINDS</t>
        </is>
      </c>
      <c r="J192" t="inlineStr">
        <is>
          <t xml:space="preserve">National Institute of Neurological Disorders and Stroke</t>
        </is>
      </c>
      <c r="K192" t="inlineStr">
        <is>
          <t xml:space="preserve">2026</t>
        </is>
      </c>
      <c r="L192" t="inlineStr">
        <is>
          <t xml:space="preserve">212760</t>
        </is>
      </c>
      <c r="M192" t="inlineStr">
        <is>
          <t xml:space="preserve">2024-09-01</t>
        </is>
      </c>
      <c r="N192" t="inlineStr">
        <is>
          <t xml:space="preserve">2029-08-31</t>
        </is>
      </c>
      <c r="O192" t="inlineStr">
        <is>
          <t xml:space="preserve">Small molecule</t>
        </is>
      </c>
      <c r="P192" s="3" t="str">
        <f>HYPERLINK("https://reporter.nih.gov/project-details/11397446","https://reporter.nih.gov/project-details/11397446")</f>
        <v>https://reporter.nih.gov/project-details/11397446</v>
      </c>
    </row>
    <row r="193">
      <c r="A193" t="inlineStr">
        <is>
          <t xml:space="preserve">2026-08-25</t>
        </is>
      </c>
      <c r="B193" t="inlineStr">
        <is>
          <t xml:space="preserve">5R01NS139561-07</t>
        </is>
      </c>
      <c r="C193" t="inlineStr">
        <is>
          <t xml:space="preserve">Uncovering the dynamics and regulatory logic of cell fate specification in cerebral organoid data</t>
        </is>
      </c>
      <c r="D193" t="inlineStr">
        <is>
          <t xml:space="preserve">Smita Krishnaswamy</t>
        </is>
      </c>
      <c r="E193" t="inlineStr">
        <is>
          <t xml:space="preserve">Natalia B Ivanova; Smita Krishnaswamy</t>
        </is>
      </c>
      <c r="F193" t="inlineStr">
        <is>
          <t xml:space="preserve">YALE UNIVERSITY</t>
        </is>
      </c>
      <c r="G193" t="inlineStr">
        <is>
          <t xml:space="preserve">NEW HAVEN</t>
        </is>
      </c>
      <c r="H193" t="inlineStr">
        <is>
          <t xml:space="preserve">CT</t>
        </is>
      </c>
      <c r="I193" t="inlineStr">
        <is>
          <t xml:space="preserve">NINDS</t>
        </is>
      </c>
      <c r="J193" t="inlineStr">
        <is>
          <t xml:space="preserve">National Institute of Neurological Disorders and Stroke</t>
        </is>
      </c>
      <c r="K193" t="inlineStr">
        <is>
          <t xml:space="preserve">2026</t>
        </is>
      </c>
      <c r="L193" t="inlineStr">
        <is>
          <t xml:space="preserve">537197</t>
        </is>
      </c>
      <c r="M193" t="inlineStr">
        <is>
          <t xml:space="preserve">2026-05-01</t>
        </is>
      </c>
      <c r="N193" t="inlineStr">
        <is>
          <t xml:space="preserve">2030-04-30</t>
        </is>
      </c>
      <c r="O193" t="inlineStr">
        <is>
          <t xml:space="preserve">Gene therapy</t>
        </is>
      </c>
      <c r="P193" s="3" t="str">
        <f>HYPERLINK("https://reporter.nih.gov/project-details/11330601","https://reporter.nih.gov/project-details/11330601")</f>
        <v>https://reporter.nih.gov/project-details/11330601</v>
      </c>
    </row>
    <row r="194">
      <c r="A194" t="inlineStr">
        <is>
          <t xml:space="preserve">2026-08-25</t>
        </is>
      </c>
      <c r="B194" t="inlineStr">
        <is>
          <t xml:space="preserve">1R01MH145738-01</t>
        </is>
      </c>
      <c r="C194" t="inlineStr">
        <is>
          <t xml:space="preserve">Investigation of predictive processing during cognitive performance</t>
        </is>
      </c>
      <c r="D194" t="inlineStr">
        <is>
          <t xml:space="preserve">Andre Moraes Bastos</t>
        </is>
      </c>
      <c r="E194" t="inlineStr">
        <is>
          <t xml:space="preserve">Andre Moraes Bastos</t>
        </is>
      </c>
      <c r="F194" t="inlineStr">
        <is>
          <t xml:space="preserve">VANDERBILT UNIVERSITY</t>
        </is>
      </c>
      <c r="G194" t="inlineStr">
        <is>
          <t xml:space="preserve">Nashville</t>
        </is>
      </c>
      <c r="H194" t="inlineStr">
        <is>
          <t xml:space="preserve">TN</t>
        </is>
      </c>
      <c r="I194" t="inlineStr">
        <is>
          <t xml:space="preserve">NIMH</t>
        </is>
      </c>
      <c r="J194" t="inlineStr">
        <is>
          <t xml:space="preserve">National Institute of Mental Health</t>
        </is>
      </c>
      <c r="K194" t="inlineStr">
        <is>
          <t xml:space="preserve">2026</t>
        </is>
      </c>
      <c r="L194" t="inlineStr">
        <is>
          <t xml:space="preserve">507102</t>
        </is>
      </c>
      <c r="M194" t="inlineStr">
        <is>
          <t xml:space="preserve">2026-09-01</t>
        </is>
      </c>
      <c r="N194" t="inlineStr">
        <is>
          <t xml:space="preserve">2031-05-31</t>
        </is>
      </c>
      <c r="O194" t="inlineStr">
        <is>
          <t xml:space="preserve"/>
        </is>
      </c>
      <c r="P194" s="3" t="str">
        <f>HYPERLINK("https://reporter.nih.gov/project-details/11430461","https://reporter.nih.gov/project-details/11430461")</f>
        <v>https://reporter.nih.gov/project-details/11430461</v>
      </c>
    </row>
    <row r="195">
      <c r="A195" t="inlineStr">
        <is>
          <t xml:space="preserve">2026-08-25</t>
        </is>
      </c>
      <c r="B195" t="inlineStr">
        <is>
          <t xml:space="preserve">1R21NS151180-01</t>
        </is>
      </c>
      <c r="C195" t="inlineStr">
        <is>
          <t xml:space="preserve">Mechanisms of microcephaly caused by rubella virus</t>
        </is>
      </c>
      <c r="D195" t="inlineStr">
        <is>
          <t xml:space="preserve">NICHOLE L LINK</t>
        </is>
      </c>
      <c r="E195" t="inlineStr">
        <is>
          <t xml:space="preserve">NICHOLE L LINK</t>
        </is>
      </c>
      <c r="F195" t="inlineStr">
        <is>
          <t xml:space="preserve">UTAH STATE HIGHER EDUCATION SYSTEM--UNIVERSITY OF UTAH</t>
        </is>
      </c>
      <c r="G195" t="inlineStr">
        <is>
          <t xml:space="preserve">SALT LAKE CITY</t>
        </is>
      </c>
      <c r="H195" t="inlineStr">
        <is>
          <t xml:space="preserve">UT</t>
        </is>
      </c>
      <c r="I195" t="inlineStr">
        <is>
          <t xml:space="preserve">NINDS</t>
        </is>
      </c>
      <c r="J195" t="inlineStr">
        <is>
          <t xml:space="preserve">National Institute of Neurological Disorders and Stroke</t>
        </is>
      </c>
      <c r="K195" t="inlineStr">
        <is>
          <t xml:space="preserve">2026</t>
        </is>
      </c>
      <c r="L195" t="inlineStr">
        <is>
          <t xml:space="preserve">446625</t>
        </is>
      </c>
      <c r="M195" t="inlineStr">
        <is>
          <t xml:space="preserve">2026-09-01</t>
        </is>
      </c>
      <c r="N195" t="inlineStr">
        <is>
          <t xml:space="preserve">2028-08-31</t>
        </is>
      </c>
      <c r="O195" t="inlineStr">
        <is>
          <t xml:space="preserve"/>
        </is>
      </c>
      <c r="P195" s="3" t="str">
        <f>HYPERLINK("https://reporter.nih.gov/project-details/11439917","https://reporter.nih.gov/project-details/11439917")</f>
        <v>https://reporter.nih.gov/project-details/11439917</v>
      </c>
    </row>
    <row r="196">
      <c r="A196" t="inlineStr">
        <is>
          <t xml:space="preserve">2026-08-25</t>
        </is>
      </c>
      <c r="B196" t="inlineStr">
        <is>
          <t xml:space="preserve">1F30HD122415-01</t>
        </is>
      </c>
      <c r="C196" t="inlineStr">
        <is>
          <t xml:space="preserve">Impact of NMDA Receptors on Neural Crest Development</t>
        </is>
      </c>
      <c r="D196" t="inlineStr">
        <is>
          <t xml:space="preserve">Sabrina Hafeez</t>
        </is>
      </c>
      <c r="E196" t="inlineStr">
        <is>
          <t xml:space="preserve">Sabrina Hafeez</t>
        </is>
      </c>
      <c r="F196" t="inlineStr">
        <is>
          <t xml:space="preserve">STATE UNIVERSITY NEW YORK STONY BROOK</t>
        </is>
      </c>
      <c r="G196" t="inlineStr">
        <is>
          <t xml:space="preserve">STONY BROOK</t>
        </is>
      </c>
      <c r="H196" t="inlineStr">
        <is>
          <t xml:space="preserve">NY</t>
        </is>
      </c>
      <c r="I196" t="inlineStr">
        <is>
          <t xml:space="preserve">NICHD</t>
        </is>
      </c>
      <c r="J196" t="inlineStr">
        <is>
          <t xml:space="preserve">Eunice Kennedy Shriver National Institute of Child Health and Human Development</t>
        </is>
      </c>
      <c r="K196" t="inlineStr">
        <is>
          <t xml:space="preserve">2026</t>
        </is>
      </c>
      <c r="L196" t="inlineStr">
        <is>
          <t xml:space="preserve">42647</t>
        </is>
      </c>
      <c r="M196" t="inlineStr">
        <is>
          <t xml:space="preserve">2026-08-25</t>
        </is>
      </c>
      <c r="N196" t="inlineStr">
        <is>
          <t xml:space="preserve">2030-08-24</t>
        </is>
      </c>
      <c r="O196" t="inlineStr">
        <is>
          <t xml:space="preserve">Small molecule, Device / stimulation</t>
        </is>
      </c>
      <c r="P196" s="3" t="str">
        <f>HYPERLINK("https://reporter.nih.gov/project-details/11388528","https://reporter.nih.gov/project-details/11388528")</f>
        <v>https://reporter.nih.gov/project-details/11388528</v>
      </c>
    </row>
    <row r="197">
      <c r="A197" t="inlineStr">
        <is>
          <t xml:space="preserve">2026-08-25</t>
        </is>
      </c>
      <c r="B197" t="inlineStr">
        <is>
          <t xml:space="preserve">1R21MH144311-01</t>
        </is>
      </c>
      <c r="C197" t="inlineStr">
        <is>
          <t xml:space="preserve">Gene dosage, synaptic neotony, and neurodevelopmental disorders</t>
        </is>
      </c>
      <c r="D197" t="inlineStr">
        <is>
          <t xml:space="preserve">Michael Mark Alexander Sutton</t>
        </is>
      </c>
      <c r="E197" t="inlineStr">
        <is>
          <t xml:space="preserve">Louis Tuong Chinh Dang; Shigeki Iwase; Michael Mark Alexander Sutton</t>
        </is>
      </c>
      <c r="F197" t="inlineStr">
        <is>
          <t xml:space="preserve">UNIVERSITY OF MICHIGAN AT ANN ARBOR</t>
        </is>
      </c>
      <c r="G197" t="inlineStr">
        <is>
          <t xml:space="preserve">ANN ARBOR</t>
        </is>
      </c>
      <c r="H197" t="inlineStr">
        <is>
          <t xml:space="preserve">MI</t>
        </is>
      </c>
      <c r="I197" t="inlineStr">
        <is>
          <t xml:space="preserve">NIMH</t>
        </is>
      </c>
      <c r="J197" t="inlineStr">
        <is>
          <t xml:space="preserve">National Institute of Mental Health</t>
        </is>
      </c>
      <c r="K197" t="inlineStr">
        <is>
          <t xml:space="preserve">2026</t>
        </is>
      </c>
      <c r="L197" t="inlineStr">
        <is>
          <t xml:space="preserve">429000</t>
        </is>
      </c>
      <c r="M197" t="inlineStr">
        <is>
          <t xml:space="preserve">2026-09-01</t>
        </is>
      </c>
      <c r="N197" t="inlineStr">
        <is>
          <t xml:space="preserve">2028-08-31</t>
        </is>
      </c>
      <c r="O197" t="inlineStr">
        <is>
          <t xml:space="preserve"/>
        </is>
      </c>
      <c r="P197" s="3" t="str">
        <f>HYPERLINK("https://reporter.nih.gov/project-details/11356547","https://reporter.nih.gov/project-details/11356547")</f>
        <v>https://reporter.nih.gov/project-details/11356547</v>
      </c>
    </row>
    <row r="198">
      <c r="A198" t="inlineStr">
        <is>
          <t xml:space="preserve">2026-08-25</t>
        </is>
      </c>
      <c r="B198" t="inlineStr">
        <is>
          <t xml:space="preserve">5R21MH138855-02</t>
        </is>
      </c>
      <c r="C198" t="inlineStr">
        <is>
          <t xml:space="preserve">A copy number variant discovery pipeline for integrated genome-exome sequencing</t>
        </is>
      </c>
      <c r="D198" t="inlineStr">
        <is>
          <t xml:space="preserve">Harrison Brand</t>
        </is>
      </c>
      <c r="E198" t="inlineStr">
        <is>
          <t xml:space="preserve">Harrison Brand</t>
        </is>
      </c>
      <c r="F198" t="inlineStr">
        <is>
          <t xml:space="preserve">MASSACHUSETTS GENERAL HOSPITAL</t>
        </is>
      </c>
      <c r="G198" t="inlineStr">
        <is>
          <t xml:space="preserve">BOSTON</t>
        </is>
      </c>
      <c r="H198" t="inlineStr">
        <is>
          <t xml:space="preserve">MA</t>
        </is>
      </c>
      <c r="I198" t="inlineStr">
        <is>
          <t xml:space="preserve">NIMH</t>
        </is>
      </c>
      <c r="J198" t="inlineStr">
        <is>
          <t xml:space="preserve">National Institute of Mental Health</t>
        </is>
      </c>
      <c r="K198" t="inlineStr">
        <is>
          <t xml:space="preserve">2026</t>
        </is>
      </c>
      <c r="L198" t="inlineStr">
        <is>
          <t xml:space="preserve">247500</t>
        </is>
      </c>
      <c r="M198" t="inlineStr">
        <is>
          <t xml:space="preserve">2025-09-01</t>
        </is>
      </c>
      <c r="N198" t="inlineStr">
        <is>
          <t xml:space="preserve">2027-08-31</t>
        </is>
      </c>
      <c r="O198" t="inlineStr">
        <is>
          <t xml:space="preserve"/>
        </is>
      </c>
      <c r="P198" s="3" t="str">
        <f>HYPERLINK("https://reporter.nih.gov/project-details/11403774","https://reporter.nih.gov/project-details/11403774")</f>
        <v>https://reporter.nih.gov/project-details/11403774</v>
      </c>
    </row>
    <row r="199">
      <c r="A199" t="inlineStr">
        <is>
          <t xml:space="preserve">2026-08-25</t>
        </is>
      </c>
      <c r="B199" t="inlineStr">
        <is>
          <t xml:space="preserve">5K01MH137401-02</t>
        </is>
      </c>
      <c r="C199" t="inlineStr">
        <is>
          <t xml:space="preserve">Investigating neural predictors of real-world social attention in autism during naturalistic social interactions</t>
        </is>
      </c>
      <c r="D199" t="inlineStr">
        <is>
          <t xml:space="preserve">Jason William Griffin</t>
        </is>
      </c>
      <c r="E199" t="inlineStr">
        <is>
          <t xml:space="preserve">Jason William Griffin</t>
        </is>
      </c>
      <c r="F199" t="inlineStr">
        <is>
          <t xml:space="preserve">UNIVERSITY OF HOUSTON</t>
        </is>
      </c>
      <c r="G199" t="inlineStr">
        <is>
          <t xml:space="preserve">HOUSTON</t>
        </is>
      </c>
      <c r="H199" t="inlineStr">
        <is>
          <t xml:space="preserve">TX</t>
        </is>
      </c>
      <c r="I199" t="inlineStr">
        <is>
          <t xml:space="preserve">NIMH</t>
        </is>
      </c>
      <c r="J199" t="inlineStr">
        <is>
          <t xml:space="preserve">National Institute of Mental Health</t>
        </is>
      </c>
      <c r="K199" t="inlineStr">
        <is>
          <t xml:space="preserve">2026</t>
        </is>
      </c>
      <c r="L199" t="inlineStr">
        <is>
          <t xml:space="preserve">170937</t>
        </is>
      </c>
      <c r="M199" t="inlineStr">
        <is>
          <t xml:space="preserve">2025-09-15</t>
        </is>
      </c>
      <c r="N199" t="inlineStr">
        <is>
          <t xml:space="preserve">2030-08-31</t>
        </is>
      </c>
      <c r="O199" t="inlineStr">
        <is>
          <t xml:space="preserve"/>
        </is>
      </c>
      <c r="P199" s="3" t="str">
        <f>HYPERLINK("https://reporter.nih.gov/project-details/11416581","https://reporter.nih.gov/project-details/11416581")</f>
        <v>https://reporter.nih.gov/project-details/11416581</v>
      </c>
    </row>
    <row r="200">
      <c r="A200" t="inlineStr">
        <is>
          <t xml:space="preserve">2026-08-25</t>
        </is>
      </c>
      <c r="B200" t="inlineStr">
        <is>
          <t xml:space="preserve">1R01MH139696-01A1</t>
        </is>
      </c>
      <c r="C200" t="inlineStr">
        <is>
          <t xml:space="preserve">EPIGENETIC REGULATION OF AGGRESSION IN DROSOPHILA</t>
        </is>
      </c>
      <c r="D200" t="inlineStr">
        <is>
          <t xml:space="preserve">Herman A Dierick</t>
        </is>
      </c>
      <c r="E200" t="inlineStr">
        <is>
          <t xml:space="preserve">Herman A Dierick</t>
        </is>
      </c>
      <c r="F200" t="inlineStr">
        <is>
          <t xml:space="preserve">BAYLOR COLLEGE OF MEDICINE</t>
        </is>
      </c>
      <c r="G200" t="inlineStr">
        <is>
          <t xml:space="preserve">HOUSTON</t>
        </is>
      </c>
      <c r="H200" t="inlineStr">
        <is>
          <t xml:space="preserve">TX</t>
        </is>
      </c>
      <c r="I200" t="inlineStr">
        <is>
          <t xml:space="preserve">NIMH</t>
        </is>
      </c>
      <c r="J200" t="inlineStr">
        <is>
          <t xml:space="preserve">National Institute of Mental Health</t>
        </is>
      </c>
      <c r="K200" t="inlineStr">
        <is>
          <t xml:space="preserve">2026</t>
        </is>
      </c>
      <c r="L200" t="inlineStr">
        <is>
          <t xml:space="preserve">507595</t>
        </is>
      </c>
      <c r="M200" t="inlineStr">
        <is>
          <t xml:space="preserve">2026-09-01</t>
        </is>
      </c>
      <c r="N200" t="inlineStr">
        <is>
          <t xml:space="preserve">2031-05-31</t>
        </is>
      </c>
      <c r="O200" t="inlineStr">
        <is>
          <t xml:space="preserve">Gene therapy</t>
        </is>
      </c>
      <c r="P200" s="3" t="str">
        <f>HYPERLINK("https://reporter.nih.gov/project-details/11368257","https://reporter.nih.gov/project-details/11368257")</f>
        <v>https://reporter.nih.gov/project-details/11368257</v>
      </c>
    </row>
    <row r="201">
      <c r="A201" t="inlineStr">
        <is>
          <t xml:space="preserve">2026-08-25</t>
        </is>
      </c>
      <c r="B201" t="inlineStr">
        <is>
          <t xml:space="preserve">1R01NS146474-01A1</t>
        </is>
      </c>
      <c r="C201" t="inlineStr">
        <is>
          <t xml:space="preserve">Mitochondrial gene regulation in CNS development</t>
        </is>
      </c>
      <c r="D201" t="inlineStr">
        <is>
          <t xml:space="preserve">Soo-Kyung Lee</t>
        </is>
      </c>
      <c r="E201" t="inlineStr">
        <is>
          <t xml:space="preserve">Soo-Kyung Lee</t>
        </is>
      </c>
      <c r="F201" t="inlineStr">
        <is>
          <t xml:space="preserve">STATE UNIVERSITY OF NEW YORK AT BUFFALO</t>
        </is>
      </c>
      <c r="G201" t="inlineStr">
        <is>
          <t xml:space="preserve">AMHERST</t>
        </is>
      </c>
      <c r="H201" t="inlineStr">
        <is>
          <t xml:space="preserve">NY</t>
        </is>
      </c>
      <c r="I201" t="inlineStr">
        <is>
          <t xml:space="preserve">NINDS</t>
        </is>
      </c>
      <c r="J201" t="inlineStr">
        <is>
          <t xml:space="preserve">National Institute of Neurological Disorders and Stroke</t>
        </is>
      </c>
      <c r="K201" t="inlineStr">
        <is>
          <t xml:space="preserve">2026</t>
        </is>
      </c>
      <c r="L201" t="inlineStr">
        <is>
          <t xml:space="preserve">645070</t>
        </is>
      </c>
      <c r="M201" t="inlineStr">
        <is>
          <t xml:space="preserve">2026-09-01</t>
        </is>
      </c>
      <c r="N201" t="inlineStr">
        <is>
          <t xml:space="preserve">2031-08-31</t>
        </is>
      </c>
      <c r="O201" t="inlineStr">
        <is>
          <t xml:space="preserve">Small molecule, Device / stimulation</t>
        </is>
      </c>
      <c r="P201" s="3" t="str">
        <f>HYPERLINK("https://reporter.nih.gov/project-details/11450225","https://reporter.nih.gov/project-details/11450225")</f>
        <v>https://reporter.nih.gov/project-details/11450225</v>
      </c>
    </row>
    <row r="202">
      <c r="A202" t="inlineStr">
        <is>
          <t xml:space="preserve">2026-08-24</t>
        </is>
      </c>
      <c r="B202" t="inlineStr">
        <is>
          <t xml:space="preserve">5F32MH140492-02</t>
        </is>
      </c>
      <c r="C202" t="inlineStr">
        <is>
          <t xml:space="preserve">Dissecting Oxytocin Neural Circuits Involved in Prosocial Behavior</t>
        </is>
      </c>
      <c r="D202" t="inlineStr">
        <is>
          <t xml:space="preserve">Nicole Rigney</t>
        </is>
      </c>
      <c r="E202" t="inlineStr">
        <is>
          <t xml:space="preserve">Nicole Rigney</t>
        </is>
      </c>
      <c r="F202" t="inlineStr">
        <is>
          <t xml:space="preserve">UNIVERSITY OF CALIFORNIA LOS ANGELES</t>
        </is>
      </c>
      <c r="G202" t="inlineStr">
        <is>
          <t xml:space="preserve">LOS ANGELES</t>
        </is>
      </c>
      <c r="H202" t="inlineStr">
        <is>
          <t xml:space="preserve">CA</t>
        </is>
      </c>
      <c r="I202" t="inlineStr">
        <is>
          <t xml:space="preserve">NIMH</t>
        </is>
      </c>
      <c r="J202" t="inlineStr">
        <is>
          <t xml:space="preserve">National Institute of Mental Health</t>
        </is>
      </c>
      <c r="K202" t="inlineStr">
        <is>
          <t xml:space="preserve">2026</t>
        </is>
      </c>
      <c r="L202" t="inlineStr">
        <is>
          <t xml:space="preserve">79348</t>
        </is>
      </c>
      <c r="M202" t="inlineStr">
        <is>
          <t xml:space="preserve">2025-09-01</t>
        </is>
      </c>
      <c r="N202" t="inlineStr">
        <is>
          <t xml:space="preserve">2027-08-31</t>
        </is>
      </c>
      <c r="O202" t="inlineStr">
        <is>
          <t xml:space="preserve">Gene therapy, Peptide</t>
        </is>
      </c>
      <c r="P202" s="3" t="str">
        <f>HYPERLINK("https://reporter.nih.gov/project-details/11398870","https://reporter.nih.gov/project-details/11398870")</f>
        <v>https://reporter.nih.gov/project-details/11398870</v>
      </c>
    </row>
    <row r="203">
      <c r="A203" t="inlineStr">
        <is>
          <t xml:space="preserve">2026-08-24</t>
        </is>
      </c>
      <c r="B203" t="inlineStr">
        <is>
          <t xml:space="preserve">5R01AA030014-04</t>
        </is>
      </c>
      <c r="C203" t="inlineStr">
        <is>
          <t xml:space="preserve">Fetal Neuroprotection by choline supplementation in heavy drinking pregnant women</t>
        </is>
      </c>
      <c r="D203" t="inlineStr">
        <is>
          <t xml:space="preserve">Andre Jan Willem van der Kouwe</t>
        </is>
      </c>
      <c r="E203" t="inlineStr">
        <is>
          <t xml:space="preserve">ROBERT COLIN CARTER; SANDRA W. JACOBSON; Ernesta Maria Meintjes; Andre Jan Willem van der Kouwe</t>
        </is>
      </c>
      <c r="F203" t="inlineStr">
        <is>
          <t xml:space="preserve">MASSACHUSETTS GENERAL HOSPITAL</t>
        </is>
      </c>
      <c r="G203" t="inlineStr">
        <is>
          <t xml:space="preserve">BOSTON</t>
        </is>
      </c>
      <c r="H203" t="inlineStr">
        <is>
          <t xml:space="preserve">MA</t>
        </is>
      </c>
      <c r="I203" t="inlineStr">
        <is>
          <t xml:space="preserve">NIAAA</t>
        </is>
      </c>
      <c r="J203" t="inlineStr">
        <is>
          <t xml:space="preserve">National Institute on Alcohol Abuse and Alcoholism</t>
        </is>
      </c>
      <c r="K203" t="inlineStr">
        <is>
          <t xml:space="preserve">2026</t>
        </is>
      </c>
      <c r="L203" t="inlineStr">
        <is>
          <t xml:space="preserve">247769</t>
        </is>
      </c>
      <c r="M203" t="inlineStr">
        <is>
          <t xml:space="preserve">2023-09-15</t>
        </is>
      </c>
      <c r="N203" t="inlineStr">
        <is>
          <t xml:space="preserve">2028-08-31</t>
        </is>
      </c>
      <c r="O203" t="inlineStr">
        <is>
          <t xml:space="preserve">Behavioral</t>
        </is>
      </c>
      <c r="P203" s="3" t="str">
        <f>HYPERLINK("https://reporter.nih.gov/project-details/11413453","https://reporter.nih.gov/project-details/11413453")</f>
        <v>https://reporter.nih.gov/project-details/11413453</v>
      </c>
    </row>
    <row r="204">
      <c r="A204" t="inlineStr">
        <is>
          <t xml:space="preserve">2026-08-24</t>
        </is>
      </c>
      <c r="B204" t="inlineStr">
        <is>
          <t xml:space="preserve">5R01HD114631-02</t>
        </is>
      </c>
      <c r="C204" t="inlineStr">
        <is>
          <t xml:space="preserve">Parent-Mediated Teleheath Intervention for Insomnia in Young Autistic Children</t>
        </is>
      </c>
      <c r="D204" t="inlineStr">
        <is>
          <t xml:space="preserve">CYNTHIA R JOHNSON</t>
        </is>
      </c>
      <c r="E204" t="inlineStr">
        <is>
          <t xml:space="preserve">CYNTHIA R JOHNSON; LUC LECAVALIER</t>
        </is>
      </c>
      <c r="F204" t="inlineStr">
        <is>
          <t xml:space="preserve">CLEVELAND CLINIC LERNER COM-CWRU</t>
        </is>
      </c>
      <c r="G204" t="inlineStr">
        <is>
          <t xml:space="preserve">CLEVELAND</t>
        </is>
      </c>
      <c r="H204" t="inlineStr">
        <is>
          <t xml:space="preserve">OH</t>
        </is>
      </c>
      <c r="I204" t="inlineStr">
        <is>
          <t xml:space="preserve">NICHD</t>
        </is>
      </c>
      <c r="J204" t="inlineStr">
        <is>
          <t xml:space="preserve">Eunice Kennedy Shriver National Institute of Child Health and Human Development</t>
        </is>
      </c>
      <c r="K204" t="inlineStr">
        <is>
          <t xml:space="preserve">2026</t>
        </is>
      </c>
      <c r="L204" t="inlineStr">
        <is>
          <t xml:space="preserve">618478</t>
        </is>
      </c>
      <c r="M204" t="inlineStr">
        <is>
          <t xml:space="preserve">2025-09-01</t>
        </is>
      </c>
      <c r="N204" t="inlineStr">
        <is>
          <t xml:space="preserve">2030-08-31</t>
        </is>
      </c>
      <c r="O204" t="inlineStr">
        <is>
          <t xml:space="preserve">Behavioral</t>
        </is>
      </c>
      <c r="P204" s="3" t="str">
        <f>HYPERLINK("https://reporter.nih.gov/project-details/11400968","https://reporter.nih.gov/project-details/11400968")</f>
        <v>https://reporter.nih.gov/project-details/11400968</v>
      </c>
    </row>
    <row r="205">
      <c r="A205" t="inlineStr">
        <is>
          <t xml:space="preserve">2026-08-24</t>
        </is>
      </c>
      <c r="B205" t="inlineStr">
        <is>
          <t xml:space="preserve">5F32EY037556-02</t>
        </is>
      </c>
      <c r="C205" t="inlineStr">
        <is>
          <t xml:space="preserve">Characterizing representational geometry and learning across primate visual streams</t>
        </is>
      </c>
      <c r="D205" t="inlineStr">
        <is>
          <t xml:space="preserve">Daniel Kato</t>
        </is>
      </c>
      <c r="E205" t="inlineStr">
        <is>
          <t xml:space="preserve">Daniel Kato</t>
        </is>
      </c>
      <c r="F205" t="inlineStr">
        <is>
          <t xml:space="preserve">COLUMBIA UNIVERSITY HEALTH SCIENCES</t>
        </is>
      </c>
      <c r="G205" t="inlineStr">
        <is>
          <t xml:space="preserve">NEW YORK</t>
        </is>
      </c>
      <c r="H205" t="inlineStr">
        <is>
          <t xml:space="preserve">NY</t>
        </is>
      </c>
      <c r="I205" t="inlineStr">
        <is>
          <t xml:space="preserve">NEI</t>
        </is>
      </c>
      <c r="J205" t="inlineStr">
        <is>
          <t xml:space="preserve">National Eye Institute</t>
        </is>
      </c>
      <c r="K205" t="inlineStr">
        <is>
          <t xml:space="preserve">2026</t>
        </is>
      </c>
      <c r="L205" t="inlineStr">
        <is>
          <t xml:space="preserve">79348</t>
        </is>
      </c>
      <c r="M205" t="inlineStr">
        <is>
          <t xml:space="preserve">2025-09-01</t>
        </is>
      </c>
      <c r="N205" t="inlineStr">
        <is>
          <t xml:space="preserve">2028-08-31</t>
        </is>
      </c>
      <c r="O205" t="inlineStr">
        <is>
          <t xml:space="preserve"/>
        </is>
      </c>
      <c r="P205" s="3" t="str">
        <f>HYPERLINK("https://reporter.nih.gov/project-details/11400290","https://reporter.nih.gov/project-details/11400290")</f>
        <v>https://reporter.nih.gov/project-details/11400290</v>
      </c>
    </row>
    <row r="206">
      <c r="A206" t="inlineStr">
        <is>
          <t xml:space="preserve">2026-08-24</t>
        </is>
      </c>
      <c r="B206" t="inlineStr">
        <is>
          <t xml:space="preserve">5F31NS147717-02</t>
        </is>
      </c>
      <c r="C206" t="inlineStr">
        <is>
          <t xml:space="preserve">Quantifying Relationships Between Behavior, Neural Network and Metabolic Dysfunction in a Genetic Mouse Model of Developmental Epileptic Encephalopathy</t>
        </is>
      </c>
      <c r="D206" t="inlineStr">
        <is>
          <t xml:space="preserve">Kaitlyn Swayze</t>
        </is>
      </c>
      <c r="E206" t="inlineStr">
        <is>
          <t xml:space="preserve">Kaitlyn Swayze</t>
        </is>
      </c>
      <c r="F206" t="inlineStr">
        <is>
          <t xml:space="preserve">COLUMBIA UNIV NEW YORK MORNINGSIDE</t>
        </is>
      </c>
      <c r="G206" t="inlineStr">
        <is>
          <t xml:space="preserve">NEW YORK</t>
        </is>
      </c>
      <c r="H206" t="inlineStr">
        <is>
          <t xml:space="preserve">NY</t>
        </is>
      </c>
      <c r="I206" t="inlineStr">
        <is>
          <t xml:space="preserve">NINDS</t>
        </is>
      </c>
      <c r="J206" t="inlineStr">
        <is>
          <t xml:space="preserve">National Institute of Neurological Disorders and Stroke</t>
        </is>
      </c>
      <c r="K206" t="inlineStr">
        <is>
          <t xml:space="preserve">2026</t>
        </is>
      </c>
      <c r="L206" t="inlineStr">
        <is>
          <t xml:space="preserve">50114</t>
        </is>
      </c>
      <c r="M206" t="inlineStr">
        <is>
          <t xml:space="preserve">2025-09-22</t>
        </is>
      </c>
      <c r="N206" t="inlineStr">
        <is>
          <t xml:space="preserve">2028-06-21</t>
        </is>
      </c>
      <c r="O206" t="inlineStr">
        <is>
          <t xml:space="preserve"/>
        </is>
      </c>
      <c r="P206" s="3" t="str">
        <f>HYPERLINK("https://reporter.nih.gov/project-details/11457327","https://reporter.nih.gov/project-details/11457327")</f>
        <v>https://reporter.nih.gov/project-details/11457327</v>
      </c>
    </row>
    <row r="207">
      <c r="A207" t="inlineStr">
        <is>
          <t xml:space="preserve">2026-08-24</t>
        </is>
      </c>
      <c r="B207" t="inlineStr">
        <is>
          <t xml:space="preserve">5K00EY038170-03</t>
        </is>
      </c>
      <c r="C207" t="inlineStr">
        <is>
          <t xml:space="preserve">Characterizing individual differences in toddlers' information seeking during naturalistic play</t>
        </is>
      </c>
      <c r="D207" t="inlineStr">
        <is>
          <t xml:space="preserve">Amanda J Haskins</t>
        </is>
      </c>
      <c r="E207" t="inlineStr">
        <is>
          <t xml:space="preserve">Amanda J Haskins</t>
        </is>
      </c>
      <c r="F207" t="inlineStr">
        <is>
          <t xml:space="preserve">UNIVERSITY OF CALIFORNIA, SAN DIEGO</t>
        </is>
      </c>
      <c r="G207" t="inlineStr">
        <is>
          <t xml:space="preserve">LA JOLLA</t>
        </is>
      </c>
      <c r="H207" t="inlineStr">
        <is>
          <t xml:space="preserve">CA</t>
        </is>
      </c>
      <c r="I207" t="inlineStr">
        <is>
          <t xml:space="preserve">NEI</t>
        </is>
      </c>
      <c r="J207" t="inlineStr">
        <is>
          <t xml:space="preserve">National Eye Institute</t>
        </is>
      </c>
      <c r="K207" t="inlineStr">
        <is>
          <t xml:space="preserve">2026</t>
        </is>
      </c>
      <c r="L207" t="inlineStr">
        <is>
          <t xml:space="preserve">81618</t>
        </is>
      </c>
      <c r="M207" t="inlineStr">
        <is>
          <t xml:space="preserve">2023-09-11</t>
        </is>
      </c>
      <c r="N207" t="inlineStr">
        <is>
          <t xml:space="preserve">2029-08-31</t>
        </is>
      </c>
      <c r="O207" t="inlineStr">
        <is>
          <t xml:space="preserve"/>
        </is>
      </c>
      <c r="P207" s="3" t="str">
        <f>HYPERLINK("https://reporter.nih.gov/project-details/11411128","https://reporter.nih.gov/project-details/11411128")</f>
        <v>https://reporter.nih.gov/project-details/11411128</v>
      </c>
    </row>
    <row r="208">
      <c r="A208" t="inlineStr">
        <is>
          <t xml:space="preserve">2026-08-24</t>
        </is>
      </c>
      <c r="B208" t="inlineStr">
        <is>
          <t xml:space="preserve">1R56NS147414-01A1</t>
        </is>
      </c>
      <c r="C208" t="inlineStr">
        <is>
          <t xml:space="preserve">Contribution of Abnormal Multi-sensory Processing to Cognitive Deficits after Brain Injury</t>
        </is>
      </c>
      <c r="D208" t="inlineStr">
        <is>
          <t xml:space="preserve">Janel Le Belle</t>
        </is>
      </c>
      <c r="E208" t="inlineStr">
        <is>
          <t xml:space="preserve">Neil Harris; Janel Le Belle</t>
        </is>
      </c>
      <c r="F208" t="inlineStr">
        <is>
          <t xml:space="preserve">UNIVERSITY OF CALIFORNIA LOS ANGELES</t>
        </is>
      </c>
      <c r="G208" t="inlineStr">
        <is>
          <t xml:space="preserve">LOS ANGELES</t>
        </is>
      </c>
      <c r="H208" t="inlineStr">
        <is>
          <t xml:space="preserve">CA</t>
        </is>
      </c>
      <c r="I208" t="inlineStr">
        <is>
          <t xml:space="preserve">NINDS</t>
        </is>
      </c>
      <c r="J208" t="inlineStr">
        <is>
          <t xml:space="preserve">National Institute of Neurological Disorders and Stroke</t>
        </is>
      </c>
      <c r="K208" t="inlineStr">
        <is>
          <t xml:space="preserve">2026</t>
        </is>
      </c>
      <c r="L208" t="inlineStr">
        <is>
          <t xml:space="preserve">551250</t>
        </is>
      </c>
      <c r="M208" t="inlineStr">
        <is>
          <t xml:space="preserve">2026-09-01</t>
        </is>
      </c>
      <c r="N208" t="inlineStr">
        <is>
          <t xml:space="preserve">2027-08-31</t>
        </is>
      </c>
      <c r="O208" t="inlineStr">
        <is>
          <t xml:space="preserve">Small molecule, Device / stimulation, Behavioral</t>
        </is>
      </c>
      <c r="P208" s="3" t="str">
        <f>HYPERLINK("https://reporter.nih.gov/project-details/11607931","https://reporter.nih.gov/project-details/11607931")</f>
        <v>https://reporter.nih.gov/project-details/11607931</v>
      </c>
    </row>
    <row r="209">
      <c r="A209" t="inlineStr">
        <is>
          <t xml:space="preserve">2026-08-24</t>
        </is>
      </c>
      <c r="B209" t="inlineStr">
        <is>
          <t xml:space="preserve">1R01DC024000-01</t>
        </is>
      </c>
      <c r="C209" t="inlineStr">
        <is>
          <t xml:space="preserve">Dynamic Network Mechanisms of Flexible Categorization in Human Cortex</t>
        </is>
      </c>
      <c r="D209" t="inlineStr">
        <is>
          <t xml:space="preserve">Taylor John Abel</t>
        </is>
      </c>
      <c r="E209" t="inlineStr">
        <is>
          <t xml:space="preserve">Taylor John Abel</t>
        </is>
      </c>
      <c r="F209" t="inlineStr">
        <is>
          <t xml:space="preserve">UNIVERSITY OF PITTSBURGH AT PITTSBURGH</t>
        </is>
      </c>
      <c r="G209" t="inlineStr">
        <is>
          <t xml:space="preserve">PITTSBURGH</t>
        </is>
      </c>
      <c r="H209" t="inlineStr">
        <is>
          <t xml:space="preserve">PA</t>
        </is>
      </c>
      <c r="I209" t="inlineStr">
        <is>
          <t xml:space="preserve">NIDCD</t>
        </is>
      </c>
      <c r="J209" t="inlineStr">
        <is>
          <t xml:space="preserve">National Institute on Deafness and Other Communication Disorders</t>
        </is>
      </c>
      <c r="K209" t="inlineStr">
        <is>
          <t xml:space="preserve">2026</t>
        </is>
      </c>
      <c r="L209" t="inlineStr">
        <is>
          <t xml:space="preserve">605903</t>
        </is>
      </c>
      <c r="M209" t="inlineStr">
        <is>
          <t xml:space="preserve">2026-09-01</t>
        </is>
      </c>
      <c r="N209" t="inlineStr">
        <is>
          <t xml:space="preserve">2031-07-31</t>
        </is>
      </c>
      <c r="O209" t="inlineStr">
        <is>
          <t xml:space="preserve"/>
        </is>
      </c>
      <c r="P209" s="3" t="str">
        <f>HYPERLINK("https://reporter.nih.gov/project-details/11429313","https://reporter.nih.gov/project-details/11429313")</f>
        <v>https://reporter.nih.gov/project-details/11429313</v>
      </c>
    </row>
    <row r="210">
      <c r="A210" t="inlineStr">
        <is>
          <t xml:space="preserve">2026-08-24</t>
        </is>
      </c>
      <c r="B210" t="inlineStr">
        <is>
          <t xml:space="preserve">5K00MH144711-04</t>
        </is>
      </c>
      <c r="C210" t="inlineStr">
        <is>
          <t xml:space="preserve">Sexually Dimorphic Amygdala Dysfunction in a Mouse Model of Global Cerebral Ischemia</t>
        </is>
      </c>
      <c r="D210" t="inlineStr">
        <is>
          <t xml:space="preserve">Jose Jacob Vigil</t>
        </is>
      </c>
      <c r="E210" t="inlineStr">
        <is>
          <t xml:space="preserve">Jose Jacob Vigil</t>
        </is>
      </c>
      <c r="F210" t="inlineStr">
        <is>
          <t xml:space="preserve">UNIVERSITY OF FLORIDA</t>
        </is>
      </c>
      <c r="G210" t="inlineStr">
        <is>
          <t xml:space="preserve">GAINESVILLE</t>
        </is>
      </c>
      <c r="H210" t="inlineStr">
        <is>
          <t xml:space="preserve">FL</t>
        </is>
      </c>
      <c r="I210" t="inlineStr">
        <is>
          <t xml:space="preserve">NIMH</t>
        </is>
      </c>
      <c r="J210" t="inlineStr">
        <is>
          <t xml:space="preserve">National Institute of Mental Health</t>
        </is>
      </c>
      <c r="K210" t="inlineStr">
        <is>
          <t xml:space="preserve">2026</t>
        </is>
      </c>
      <c r="L210" t="inlineStr">
        <is>
          <t xml:space="preserve">75913</t>
        </is>
      </c>
      <c r="M210" t="inlineStr">
        <is>
          <t xml:space="preserve">2023-09-19</t>
        </is>
      </c>
      <c r="N210" t="inlineStr">
        <is>
          <t xml:space="preserve">2029-08-31</t>
        </is>
      </c>
      <c r="O210" t="inlineStr">
        <is>
          <t xml:space="preserve"/>
        </is>
      </c>
      <c r="P210" s="3" t="str">
        <f>HYPERLINK("https://reporter.nih.gov/project-details/11418450","https://reporter.nih.gov/project-details/11418450")</f>
        <v>https://reporter.nih.gov/project-details/11418450</v>
      </c>
    </row>
    <row r="211">
      <c r="A211" t="inlineStr">
        <is>
          <t xml:space="preserve">2026-08-24</t>
        </is>
      </c>
      <c r="B211" t="inlineStr">
        <is>
          <t xml:space="preserve">5DP1DA056493-05</t>
        </is>
      </c>
      <c r="C211" t="inlineStr">
        <is>
          <t xml:space="preserve">Impact of maternal marijuana use on epigenetic regulation of offspring neurodevelopment</t>
        </is>
      </c>
      <c r="D211" t="inlineStr">
        <is>
          <t xml:space="preserve">Jamie Lo</t>
        </is>
      </c>
      <c r="E211" t="inlineStr">
        <is>
          <t xml:space="preserve">Jamie Lo</t>
        </is>
      </c>
      <c r="F211" t="inlineStr">
        <is>
          <t xml:space="preserve">OREGON HEALTH &amp; SCIENCE UNIVERSITY</t>
        </is>
      </c>
      <c r="G211" t="inlineStr">
        <is>
          <t xml:space="preserve">PORTLAND</t>
        </is>
      </c>
      <c r="H211" t="inlineStr">
        <is>
          <t xml:space="preserve">OR</t>
        </is>
      </c>
      <c r="I211" t="inlineStr">
        <is>
          <t xml:space="preserve">NIDA</t>
        </is>
      </c>
      <c r="J211" t="inlineStr">
        <is>
          <t xml:space="preserve">National Institute on Drug Abuse</t>
        </is>
      </c>
      <c r="K211" t="inlineStr">
        <is>
          <t xml:space="preserve">2026</t>
        </is>
      </c>
      <c r="L211" t="inlineStr">
        <is>
          <t xml:space="preserve">525000</t>
        </is>
      </c>
      <c r="M211" t="inlineStr">
        <is>
          <t xml:space="preserve">2022-09-15</t>
        </is>
      </c>
      <c r="N211" t="inlineStr">
        <is>
          <t xml:space="preserve">2027-08-31</t>
        </is>
      </c>
      <c r="O211" t="inlineStr">
        <is>
          <t xml:space="preserve">Behavioral</t>
        </is>
      </c>
      <c r="P211" s="3" t="str">
        <f>HYPERLINK("https://reporter.nih.gov/project-details/11401930","https://reporter.nih.gov/project-details/11401930")</f>
        <v>https://reporter.nih.gov/project-details/11401930</v>
      </c>
    </row>
    <row r="212">
      <c r="A212" t="inlineStr">
        <is>
          <t xml:space="preserve">2026-08-24</t>
        </is>
      </c>
      <c r="B212" t="inlineStr">
        <is>
          <t xml:space="preserve">5F31MH141956-02</t>
        </is>
      </c>
      <c r="C212" t="inlineStr">
        <is>
          <t xml:space="preserve">Investigating the function of the autism spectrum disorder risk genes RFX3 and RFX4 during human cortical development</t>
        </is>
      </c>
      <c r="D212" t="inlineStr">
        <is>
          <t xml:space="preserve">Julianna Determan</t>
        </is>
      </c>
      <c r="E212" t="inlineStr">
        <is>
          <t xml:space="preserve">Julianna Determan</t>
        </is>
      </c>
      <c r="F212" t="inlineStr">
        <is>
          <t xml:space="preserve">WASHINGTON UNIVERSITY</t>
        </is>
      </c>
      <c r="G212" t="inlineStr">
        <is>
          <t xml:space="preserve">SAINT LOUIS</t>
        </is>
      </c>
      <c r="H212" t="inlineStr">
        <is>
          <t xml:space="preserve">MO</t>
        </is>
      </c>
      <c r="I212" t="inlineStr">
        <is>
          <t xml:space="preserve">NIMH</t>
        </is>
      </c>
      <c r="J212" t="inlineStr">
        <is>
          <t xml:space="preserve">National Institute of Mental Health</t>
        </is>
      </c>
      <c r="K212" t="inlineStr">
        <is>
          <t xml:space="preserve">2026</t>
        </is>
      </c>
      <c r="L212" t="inlineStr">
        <is>
          <t xml:space="preserve">37249</t>
        </is>
      </c>
      <c r="M212" t="inlineStr">
        <is>
          <t xml:space="preserve">2025-09-01</t>
        </is>
      </c>
      <c r="N212" t="inlineStr">
        <is>
          <t xml:space="preserve">2029-08-31</t>
        </is>
      </c>
      <c r="O212" t="inlineStr">
        <is>
          <t xml:space="preserve">Gene therapy, Small molecule</t>
        </is>
      </c>
      <c r="P212" s="3" t="str">
        <f>HYPERLINK("https://reporter.nih.gov/project-details/11467912","https://reporter.nih.gov/project-details/11467912")</f>
        <v>https://reporter.nih.gov/project-details/11467912</v>
      </c>
    </row>
    <row r="213">
      <c r="A213" t="inlineStr">
        <is>
          <t xml:space="preserve">2026-08-24</t>
        </is>
      </c>
      <c r="B213" t="inlineStr">
        <is>
          <t xml:space="preserve">5F31NS141668-02</t>
        </is>
      </c>
      <c r="C213" t="inlineStr">
        <is>
          <t xml:space="preserve">Elucidating the pathogenic mechanisms by which KAT6A mutations alter human in vitro neurodevelopment</t>
        </is>
      </c>
      <c r="D213" t="inlineStr">
        <is>
          <t xml:space="preserve">Aileen Anai Nava</t>
        </is>
      </c>
      <c r="E213" t="inlineStr">
        <is>
          <t xml:space="preserve">Aileen Anai Nava</t>
        </is>
      </c>
      <c r="F213" t="inlineStr">
        <is>
          <t xml:space="preserve">UNIVERSITY OF CALIFORNIA LOS ANGELES</t>
        </is>
      </c>
      <c r="G213" t="inlineStr">
        <is>
          <t xml:space="preserve">LOS ANGELES</t>
        </is>
      </c>
      <c r="H213" t="inlineStr">
        <is>
          <t xml:space="preserve">CA</t>
        </is>
      </c>
      <c r="I213" t="inlineStr">
        <is>
          <t xml:space="preserve">NINDS</t>
        </is>
      </c>
      <c r="J213" t="inlineStr">
        <is>
          <t xml:space="preserve">National Institute of Neurological Disorders and Stroke</t>
        </is>
      </c>
      <c r="K213" t="inlineStr">
        <is>
          <t xml:space="preserve">2026</t>
        </is>
      </c>
      <c r="L213" t="inlineStr">
        <is>
          <t xml:space="preserve">42448</t>
        </is>
      </c>
      <c r="M213" t="inlineStr">
        <is>
          <t xml:space="preserve">2025-09-01</t>
        </is>
      </c>
      <c r="N213" t="inlineStr">
        <is>
          <t xml:space="preserve">2027-08-31</t>
        </is>
      </c>
      <c r="O213" t="inlineStr">
        <is>
          <t xml:space="preserve"/>
        </is>
      </c>
      <c r="P213" s="3" t="str">
        <f>HYPERLINK("https://reporter.nih.gov/project-details/11411083","https://reporter.nih.gov/project-details/11411083")</f>
        <v>https://reporter.nih.gov/project-details/11411083</v>
      </c>
    </row>
    <row r="214">
      <c r="A214" t="inlineStr">
        <is>
          <t xml:space="preserve">2026-08-24</t>
        </is>
      </c>
      <c r="B214" t="inlineStr">
        <is>
          <t xml:space="preserve">1R21OH013040-01</t>
        </is>
      </c>
      <c r="C214" t="inlineStr">
        <is>
          <t xml:space="preserve">Feasibility of Virtual Reality Skills to Avoid Frequent Violent Encounters (VR-SAFE) for Healthcare Staff</t>
        </is>
      </c>
      <c r="D214" t="inlineStr">
        <is>
          <t xml:space="preserve">Casey J Clay</t>
        </is>
      </c>
      <c r="E214" t="inlineStr">
        <is>
          <t xml:space="preserve">Casey J Clay</t>
        </is>
      </c>
      <c r="F214" t="inlineStr">
        <is>
          <t xml:space="preserve">UTAH STATE UNIVERSITY</t>
        </is>
      </c>
      <c r="G214" t="inlineStr">
        <is>
          <t xml:space="preserve">LOGAN</t>
        </is>
      </c>
      <c r="H214" t="inlineStr">
        <is>
          <t xml:space="preserve">UT</t>
        </is>
      </c>
      <c r="I214" t="inlineStr">
        <is>
          <t xml:space="preserve">NIOSH</t>
        </is>
      </c>
      <c r="J214" t="inlineStr">
        <is>
          <t xml:space="preserve">National Institute for Occupational Safety and Health</t>
        </is>
      </c>
      <c r="K214" t="inlineStr">
        <is>
          <t xml:space="preserve">2026</t>
        </is>
      </c>
      <c r="L214" t="inlineStr">
        <is>
          <t xml:space="preserve">202771</t>
        </is>
      </c>
      <c r="M214" t="inlineStr">
        <is>
          <t xml:space="preserve">2026-09-01</t>
        </is>
      </c>
      <c r="N214" t="inlineStr">
        <is>
          <t xml:space="preserve">2028-08-31</t>
        </is>
      </c>
      <c r="O214" t="inlineStr">
        <is>
          <t xml:space="preserve"/>
        </is>
      </c>
      <c r="P214" s="3" t="str">
        <f>HYPERLINK("https://reporter.nih.gov/project-details/11353561","https://reporter.nih.gov/project-details/11353561")</f>
        <v>https://reporter.nih.gov/project-details/11353561</v>
      </c>
    </row>
    <row r="215">
      <c r="A215" t="inlineStr">
        <is>
          <t xml:space="preserve">2026-08-21</t>
        </is>
      </c>
      <c r="B215" t="inlineStr">
        <is>
          <t xml:space="preserve">2R01EB033172-05</t>
        </is>
      </c>
      <c r="C215" t="inlineStr">
        <is>
          <t xml:space="preserve">Next-Gen Fluorescent Indicators for Imaging Synaptic Zinc in Cortical Sound Processing</t>
        </is>
      </c>
      <c r="D215" t="inlineStr">
        <is>
          <t xml:space="preserve">Huiwang Ai</t>
        </is>
      </c>
      <c r="E215" t="inlineStr">
        <is>
          <t xml:space="preserve">Huiwang Ai; Thanos Tzounopoulos</t>
        </is>
      </c>
      <c r="F215" t="inlineStr">
        <is>
          <t xml:space="preserve">UNIVERSITY OF VIRGINIA</t>
        </is>
      </c>
      <c r="G215" t="inlineStr">
        <is>
          <t xml:space="preserve">CHARLOTTESVILLE</t>
        </is>
      </c>
      <c r="H215" t="inlineStr">
        <is>
          <t xml:space="preserve">VA</t>
        </is>
      </c>
      <c r="I215" t="inlineStr">
        <is>
          <t xml:space="preserve">NIBIB</t>
        </is>
      </c>
      <c r="J215" t="inlineStr">
        <is>
          <t xml:space="preserve">National Institute of Biomedical Imaging and Bioengineering</t>
        </is>
      </c>
      <c r="K215" t="inlineStr">
        <is>
          <t xml:space="preserve">2026</t>
        </is>
      </c>
      <c r="L215" t="inlineStr">
        <is>
          <t xml:space="preserve">657359</t>
        </is>
      </c>
      <c r="M215" t="inlineStr">
        <is>
          <t xml:space="preserve">2022-09-30</t>
        </is>
      </c>
      <c r="N215" t="inlineStr">
        <is>
          <t xml:space="preserve">2030-06-30</t>
        </is>
      </c>
      <c r="O215" t="inlineStr">
        <is>
          <t xml:space="preserve">Viral vector, Device / stimulation</t>
        </is>
      </c>
      <c r="P215" s="3" t="str">
        <f>HYPERLINK("https://reporter.nih.gov/project-details/11446677","https://reporter.nih.gov/project-details/11446677")</f>
        <v>https://reporter.nih.gov/project-details/11446677</v>
      </c>
    </row>
    <row r="216">
      <c r="A216" t="inlineStr">
        <is>
          <t xml:space="preserve">2026-08-21</t>
        </is>
      </c>
      <c r="B216" t="inlineStr">
        <is>
          <t xml:space="preserve">5K99NS138587-02</t>
        </is>
      </c>
      <c r="C216" t="inlineStr">
        <is>
          <t xml:space="preserve">Protracted Maturation of Cortical Inhibitory Neurons for the Complexity of Higher Cognitive Areas</t>
        </is>
      </c>
      <c r="D216" t="inlineStr">
        <is>
          <t xml:space="preserve">Jaeyeon Kim</t>
        </is>
      </c>
      <c r="E216" t="inlineStr">
        <is>
          <t xml:space="preserve">Jaeyeon Kim</t>
        </is>
      </c>
      <c r="F216" t="inlineStr">
        <is>
          <t xml:space="preserve">UNIVERSITY OF CALIFORNIA, SAN FRANCISCO</t>
        </is>
      </c>
      <c r="G216" t="inlineStr">
        <is>
          <t xml:space="preserve">SAN FRANCISCO</t>
        </is>
      </c>
      <c r="H216" t="inlineStr">
        <is>
          <t xml:space="preserve">CA</t>
        </is>
      </c>
      <c r="I216" t="inlineStr">
        <is>
          <t xml:space="preserve">NINDS</t>
        </is>
      </c>
      <c r="J216" t="inlineStr">
        <is>
          <t xml:space="preserve">National Institute of Neurological Disorders and Stroke</t>
        </is>
      </c>
      <c r="K216" t="inlineStr">
        <is>
          <t xml:space="preserve">2026</t>
        </is>
      </c>
      <c r="L216" t="inlineStr">
        <is>
          <t xml:space="preserve">115487</t>
        </is>
      </c>
      <c r="M216" t="inlineStr">
        <is>
          <t xml:space="preserve">2025-08-11</t>
        </is>
      </c>
      <c r="N216" t="inlineStr">
        <is>
          <t xml:space="preserve">2027-07-31</t>
        </is>
      </c>
      <c r="O216" t="inlineStr">
        <is>
          <t xml:space="preserve">Gene therapy, Small molecule</t>
        </is>
      </c>
      <c r="P216" s="3" t="str">
        <f>HYPERLINK("https://reporter.nih.gov/project-details/11391378","https://reporter.nih.gov/project-details/11391378")</f>
        <v>https://reporter.nih.gov/project-details/11391378</v>
      </c>
    </row>
    <row r="217">
      <c r="A217" t="inlineStr">
        <is>
          <t xml:space="preserve">2026-08-21</t>
        </is>
      </c>
      <c r="B217" t="inlineStr">
        <is>
          <t xml:space="preserve">1R01DC023445-01A1</t>
        </is>
      </c>
      <c r="C217" t="inlineStr">
        <is>
          <t xml:space="preserve">Promoting Early Engagement, Relationships, and Socialization (PEERS)</t>
        </is>
      </c>
      <c r="D217" t="inlineStr">
        <is>
          <t xml:space="preserve">Laura M. Justice</t>
        </is>
      </c>
      <c r="E217" t="inlineStr">
        <is>
          <t xml:space="preserve">Laura M. Justice</t>
        </is>
      </c>
      <c r="F217" t="inlineStr">
        <is>
          <t xml:space="preserve">OHIO STATE UNIVERSITY</t>
        </is>
      </c>
      <c r="G217" t="inlineStr">
        <is>
          <t xml:space="preserve">Columbus</t>
        </is>
      </c>
      <c r="H217" t="inlineStr">
        <is>
          <t xml:space="preserve">OH</t>
        </is>
      </c>
      <c r="I217" t="inlineStr">
        <is>
          <t xml:space="preserve">NIDCD</t>
        </is>
      </c>
      <c r="J217" t="inlineStr">
        <is>
          <t xml:space="preserve">National Institute on Deafness and Other Communication Disorders</t>
        </is>
      </c>
      <c r="K217" t="inlineStr">
        <is>
          <t xml:space="preserve">2026</t>
        </is>
      </c>
      <c r="L217" t="inlineStr">
        <is>
          <t xml:space="preserve">686822</t>
        </is>
      </c>
      <c r="M217" t="inlineStr">
        <is>
          <t xml:space="preserve">2026-08-19</t>
        </is>
      </c>
      <c r="N217" t="inlineStr">
        <is>
          <t xml:space="preserve">2031-07-30</t>
        </is>
      </c>
      <c r="O217" t="inlineStr">
        <is>
          <t xml:space="preserve">Behavioral</t>
        </is>
      </c>
      <c r="P217" s="3" t="str">
        <f>HYPERLINK("https://reporter.nih.gov/project-details/11428851","https://reporter.nih.gov/project-details/11428851")</f>
        <v>https://reporter.nih.gov/project-details/11428851</v>
      </c>
    </row>
    <row r="218">
      <c r="A218" t="inlineStr">
        <is>
          <t xml:space="preserve">2026-08-21</t>
        </is>
      </c>
      <c r="B218" t="inlineStr">
        <is>
          <t xml:space="preserve">5K01MH127309-05</t>
        </is>
      </c>
      <c r="C218" t="inlineStr">
        <is>
          <t xml:space="preserve">Machine Learning Methods to Develop and Deploy Real-Time Risk Surveillance for Autism Spectrum Disorder and Attention Deficit Hyperactivity Disorder from the Electronic Health Record</t>
        </is>
      </c>
      <c r="D218" t="inlineStr">
        <is>
          <t xml:space="preserve">Matthew Morrow Engelhard</t>
        </is>
      </c>
      <c r="E218" t="inlineStr">
        <is>
          <t xml:space="preserve">Matthew Morrow Engelhard</t>
        </is>
      </c>
      <c r="F218" t="inlineStr">
        <is>
          <t xml:space="preserve">DUKE UNIVERSITY</t>
        </is>
      </c>
      <c r="G218" t="inlineStr">
        <is>
          <t xml:space="preserve">DURHAM</t>
        </is>
      </c>
      <c r="H218" t="inlineStr">
        <is>
          <t xml:space="preserve">NC</t>
        </is>
      </c>
      <c r="I218" t="inlineStr">
        <is>
          <t xml:space="preserve">NIMH</t>
        </is>
      </c>
      <c r="J218" t="inlineStr">
        <is>
          <t xml:space="preserve">National Institute of Mental Health</t>
        </is>
      </c>
      <c r="K218" t="inlineStr">
        <is>
          <t xml:space="preserve">2026</t>
        </is>
      </c>
      <c r="L218" t="inlineStr">
        <is>
          <t xml:space="preserve">163204</t>
        </is>
      </c>
      <c r="M218" t="inlineStr">
        <is>
          <t xml:space="preserve">2022-09-01</t>
        </is>
      </c>
      <c r="N218" t="inlineStr">
        <is>
          <t xml:space="preserve">2027-08-31</t>
        </is>
      </c>
      <c r="O218" t="inlineStr">
        <is>
          <t xml:space="preserve">Behavioral</t>
        </is>
      </c>
      <c r="P218" s="3" t="str">
        <f>HYPERLINK("https://reporter.nih.gov/project-details/11393683","https://reporter.nih.gov/project-details/11393683")</f>
        <v>https://reporter.nih.gov/project-details/11393683</v>
      </c>
    </row>
    <row r="219">
      <c r="A219" t="inlineStr">
        <is>
          <t xml:space="preserve">2026-08-21</t>
        </is>
      </c>
      <c r="B219" t="inlineStr">
        <is>
          <t xml:space="preserve">5P50HD111142-05</t>
        </is>
      </c>
      <c r="C219" t="inlineStr">
        <is>
          <t xml:space="preserve">Public Health and Autism Science advancing Effectual Strategies across the life course (PHASES)</t>
        </is>
      </c>
      <c r="D219" t="inlineStr">
        <is>
          <t xml:space="preserve">Diana L Robins</t>
        </is>
      </c>
      <c r="E219" t="inlineStr">
        <is>
          <t xml:space="preserve">Diana L Robins; Diana Schendel</t>
        </is>
      </c>
      <c r="F219" t="inlineStr">
        <is>
          <t xml:space="preserve">DREXEL UNIVERSITY</t>
        </is>
      </c>
      <c r="G219" t="inlineStr">
        <is>
          <t xml:space="preserve">PHILADELPHIA</t>
        </is>
      </c>
      <c r="H219" t="inlineStr">
        <is>
          <t xml:space="preserve">PA</t>
        </is>
      </c>
      <c r="I219" t="inlineStr">
        <is>
          <t xml:space="preserve">NICHD</t>
        </is>
      </c>
      <c r="J219" t="inlineStr">
        <is>
          <t xml:space="preserve">Eunice Kennedy Shriver National Institute of Child Health and Human Development</t>
        </is>
      </c>
      <c r="K219" t="inlineStr">
        <is>
          <t xml:space="preserve">2026</t>
        </is>
      </c>
      <c r="L219" t="inlineStr">
        <is>
          <t xml:space="preserve">1895864</t>
        </is>
      </c>
      <c r="M219" t="inlineStr">
        <is>
          <t xml:space="preserve">2022-09-06</t>
        </is>
      </c>
      <c r="N219" t="inlineStr">
        <is>
          <t xml:space="preserve">2027-08-31</t>
        </is>
      </c>
      <c r="O219" t="inlineStr">
        <is>
          <t xml:space="preserve"/>
        </is>
      </c>
      <c r="P219" s="3" t="str">
        <f>HYPERLINK("https://reporter.nih.gov/project-details/11412945","https://reporter.nih.gov/project-details/11412945")</f>
        <v>https://reporter.nih.gov/project-details/11412945</v>
      </c>
    </row>
    <row r="220">
      <c r="A220" t="inlineStr">
        <is>
          <t xml:space="preserve">2026-08-21</t>
        </is>
      </c>
      <c r="B220" t="inlineStr">
        <is>
          <t xml:space="preserve">4K00NS130928-03</t>
        </is>
      </c>
      <c r="C220" t="inlineStr">
        <is>
          <t xml:space="preserve">Synaptic Organization and Modulation of Kainate Receptors: Investigating the Structure, Dynamics, and Function in the Context of Trans-Synaptic Junctions</t>
        </is>
      </c>
      <c r="D220" t="inlineStr">
        <is>
          <t xml:space="preserve">Cuauhtemoc Ulises Gonzalez</t>
        </is>
      </c>
      <c r="E220" t="inlineStr">
        <is>
          <t xml:space="preserve">Cuauhtemoc Ulises Gonzalez</t>
        </is>
      </c>
      <c r="F220" t="inlineStr">
        <is>
          <t xml:space="preserve">RUTGERS, THE STATE UNIV OF N.J.</t>
        </is>
      </c>
      <c r="G220" t="inlineStr">
        <is>
          <t xml:space="preserve">PISCATAWAY</t>
        </is>
      </c>
      <c r="H220" t="inlineStr">
        <is>
          <t xml:space="preserve">NJ</t>
        </is>
      </c>
      <c r="I220" t="inlineStr">
        <is>
          <t xml:space="preserve">NINDS</t>
        </is>
      </c>
      <c r="J220" t="inlineStr">
        <is>
          <t xml:space="preserve">National Institute of Neurological Disorders and Stroke</t>
        </is>
      </c>
      <c r="K220" t="inlineStr">
        <is>
          <t xml:space="preserve">2026</t>
        </is>
      </c>
      <c r="L220" t="inlineStr">
        <is>
          <t xml:space="preserve">93541</t>
        </is>
      </c>
      <c r="M220" t="inlineStr">
        <is>
          <t xml:space="preserve">2023-07-01</t>
        </is>
      </c>
      <c r="N220" t="inlineStr">
        <is>
          <t xml:space="preserve">2030-06-30</t>
        </is>
      </c>
      <c r="O220" t="inlineStr">
        <is>
          <t xml:space="preserve"/>
        </is>
      </c>
      <c r="P220" s="3" t="str">
        <f>HYPERLINK("https://reporter.nih.gov/project-details/11134788","https://reporter.nih.gov/project-details/11134788")</f>
        <v>https://reporter.nih.gov/project-details/11134788</v>
      </c>
    </row>
    <row r="221">
      <c r="A221" t="inlineStr">
        <is>
          <t xml:space="preserve">2026-08-21</t>
        </is>
      </c>
      <c r="B221" t="inlineStr">
        <is>
          <t xml:space="preserve">5R00HD109454-05</t>
        </is>
      </c>
      <c r="C221" t="inlineStr">
        <is>
          <t xml:space="preserve">Neural mechanisms of sensory over-responsivity in children with and without ASD</t>
        </is>
      </c>
      <c r="D221" t="inlineStr">
        <is>
          <t xml:space="preserve">Rebecca Schwarzlose</t>
        </is>
      </c>
      <c r="E221" t="inlineStr">
        <is>
          <t xml:space="preserve">Rebecca Schwarzlose</t>
        </is>
      </c>
      <c r="F221" t="inlineStr">
        <is>
          <t xml:space="preserve">WASHINGTON UNIVERSITY</t>
        </is>
      </c>
      <c r="G221" t="inlineStr">
        <is>
          <t xml:space="preserve">SAINT LOUIS</t>
        </is>
      </c>
      <c r="H221" t="inlineStr">
        <is>
          <t xml:space="preserve">MO</t>
        </is>
      </c>
      <c r="I221" t="inlineStr">
        <is>
          <t xml:space="preserve">NICHD</t>
        </is>
      </c>
      <c r="J221" t="inlineStr">
        <is>
          <t xml:space="preserve">Eunice Kennedy Shriver National Institute of Child Health and Human Development</t>
        </is>
      </c>
      <c r="K221" t="inlineStr">
        <is>
          <t xml:space="preserve">2026</t>
        </is>
      </c>
      <c r="L221" t="inlineStr">
        <is>
          <t xml:space="preserve">249000</t>
        </is>
      </c>
      <c r="M221" t="inlineStr">
        <is>
          <t xml:space="preserve">2024-09-01</t>
        </is>
      </c>
      <c r="N221" t="inlineStr">
        <is>
          <t xml:space="preserve">2027-08-31</t>
        </is>
      </c>
      <c r="O221" t="inlineStr">
        <is>
          <t xml:space="preserve"/>
        </is>
      </c>
      <c r="P221" s="3" t="str">
        <f>HYPERLINK("https://reporter.nih.gov/project-details/11401746","https://reporter.nih.gov/project-details/11401746")</f>
        <v>https://reporter.nih.gov/project-details/11401746</v>
      </c>
    </row>
    <row r="222">
      <c r="A222" t="inlineStr">
        <is>
          <t xml:space="preserve">2026-08-21</t>
        </is>
      </c>
      <c r="B222" t="inlineStr">
        <is>
          <t xml:space="preserve">5R01HD055741-20</t>
        </is>
      </c>
      <c r="C222" t="inlineStr">
        <is>
          <t xml:space="preserve">A Longitudinal Brain and Behavior Study of Autism From Infancy Through Adolescence</t>
        </is>
      </c>
      <c r="D222" t="inlineStr">
        <is>
          <t xml:space="preserve">Joseph Piven</t>
        </is>
      </c>
      <c r="E222" t="inlineStr">
        <is>
          <t xml:space="preserve">Joseph Piven</t>
        </is>
      </c>
      <c r="F222" t="inlineStr">
        <is>
          <t xml:space="preserve">UNIV OF NORTH CAROLINA CHAPEL HILL</t>
        </is>
      </c>
      <c r="G222" t="inlineStr">
        <is>
          <t xml:space="preserve">CHAPEL HILL</t>
        </is>
      </c>
      <c r="H222" t="inlineStr">
        <is>
          <t xml:space="preserve">NC</t>
        </is>
      </c>
      <c r="I222" t="inlineStr">
        <is>
          <t xml:space="preserve">NICHD</t>
        </is>
      </c>
      <c r="J222" t="inlineStr">
        <is>
          <t xml:space="preserve">Eunice Kennedy Shriver National Institute of Child Health and Human Development</t>
        </is>
      </c>
      <c r="K222" t="inlineStr">
        <is>
          <t xml:space="preserve">2026</t>
        </is>
      </c>
      <c r="L222" t="inlineStr">
        <is>
          <t xml:space="preserve">2138714</t>
        </is>
      </c>
      <c r="M222" t="inlineStr">
        <is>
          <t xml:space="preserve">2007-07-01</t>
        </is>
      </c>
      <c r="N222" t="inlineStr">
        <is>
          <t xml:space="preserve">2027-08-31</t>
        </is>
      </c>
      <c r="O222" t="inlineStr">
        <is>
          <t xml:space="preserve">Behavioral</t>
        </is>
      </c>
      <c r="P222" s="3" t="str">
        <f>HYPERLINK("https://reporter.nih.gov/project-details/11396475","https://reporter.nih.gov/project-details/11396475")</f>
        <v>https://reporter.nih.gov/project-details/11396475</v>
      </c>
    </row>
    <row r="223">
      <c r="A223" t="inlineStr">
        <is>
          <t xml:space="preserve">2026-08-21</t>
        </is>
      </c>
      <c r="B223" t="inlineStr">
        <is>
          <t xml:space="preserve">5U01MH130995-05</t>
        </is>
      </c>
      <c r="C223" t="inlineStr">
        <is>
          <t xml:space="preserve">Spatiotemporal epigenomic and chromosomal architectural cell atlas of developing human brains</t>
        </is>
      </c>
      <c r="D223" t="inlineStr">
        <is>
          <t xml:space="preserve">Chongyuan Luo</t>
        </is>
      </c>
      <c r="E223" t="inlineStr">
        <is>
          <t xml:space="preserve">Chongyuan Luo; Mercedes Paredes</t>
        </is>
      </c>
      <c r="F223" t="inlineStr">
        <is>
          <t xml:space="preserve">UNIVERSITY OF CALIFORNIA LOS ANGELES</t>
        </is>
      </c>
      <c r="G223" t="inlineStr">
        <is>
          <t xml:space="preserve">LOS ANGELES</t>
        </is>
      </c>
      <c r="H223" t="inlineStr">
        <is>
          <t xml:space="preserve">CA</t>
        </is>
      </c>
      <c r="I223" t="inlineStr">
        <is>
          <t xml:space="preserve">NIMH</t>
        </is>
      </c>
      <c r="J223" t="inlineStr">
        <is>
          <t xml:space="preserve">National Institute of Mental Health</t>
        </is>
      </c>
      <c r="K223" t="inlineStr">
        <is>
          <t xml:space="preserve">2026</t>
        </is>
      </c>
      <c r="L223" t="inlineStr">
        <is>
          <t xml:space="preserve">843434</t>
        </is>
      </c>
      <c r="M223" t="inlineStr">
        <is>
          <t xml:space="preserve">2022-09-01</t>
        </is>
      </c>
      <c r="N223" t="inlineStr">
        <is>
          <t xml:space="preserve">2027-06-30</t>
        </is>
      </c>
      <c r="O223" t="inlineStr">
        <is>
          <t xml:space="preserve"/>
        </is>
      </c>
      <c r="P223" s="3" t="str">
        <f>HYPERLINK("https://reporter.nih.gov/project-details/11401971","https://reporter.nih.gov/project-details/11401971")</f>
        <v>https://reporter.nih.gov/project-details/11401971</v>
      </c>
    </row>
    <row r="224">
      <c r="A224" t="inlineStr">
        <is>
          <t xml:space="preserve">2026-08-21</t>
        </is>
      </c>
      <c r="B224" t="inlineStr">
        <is>
          <t xml:space="preserve">2R37NS122394-07</t>
        </is>
      </c>
      <c r="C224" t="inlineStr">
        <is>
          <t xml:space="preserve">Structural Basis of Signal Instigation Through Family C GPCRs</t>
        </is>
      </c>
      <c r="D224" t="inlineStr">
        <is>
          <t xml:space="preserve">Georgios Skiniotis</t>
        </is>
      </c>
      <c r="E224" t="inlineStr">
        <is>
          <t xml:space="preserve">Georgios Skiniotis</t>
        </is>
      </c>
      <c r="F224" t="inlineStr">
        <is>
          <t xml:space="preserve">ST. JUDE CHILDREN'S RESEARCH HOSPITAL</t>
        </is>
      </c>
      <c r="G224" t="inlineStr">
        <is>
          <t xml:space="preserve">MEMPHIS</t>
        </is>
      </c>
      <c r="H224" t="inlineStr">
        <is>
          <t xml:space="preserve">TN</t>
        </is>
      </c>
      <c r="I224" t="inlineStr">
        <is>
          <t xml:space="preserve">NINDS</t>
        </is>
      </c>
      <c r="J224" t="inlineStr">
        <is>
          <t xml:space="preserve">National Institute of Neurological Disorders and Stroke</t>
        </is>
      </c>
      <c r="K224" t="inlineStr">
        <is>
          <t xml:space="preserve">2026</t>
        </is>
      </c>
      <c r="L224" t="inlineStr">
        <is>
          <t xml:space="preserve">921871</t>
        </is>
      </c>
      <c r="M224" t="inlineStr">
        <is>
          <t xml:space="preserve">2021-03-15</t>
        </is>
      </c>
      <c r="N224" t="inlineStr">
        <is>
          <t xml:space="preserve">2030-05-31</t>
        </is>
      </c>
      <c r="O224" t="inlineStr">
        <is>
          <t xml:space="preserve">Small molecule</t>
        </is>
      </c>
      <c r="P224" s="3" t="str">
        <f>HYPERLINK("https://reporter.nih.gov/project-details/11450611","https://reporter.nih.gov/project-details/11450611")</f>
        <v>https://reporter.nih.gov/project-details/11450611</v>
      </c>
    </row>
    <row r="225">
      <c r="A225" t="inlineStr">
        <is>
          <t xml:space="preserve">2026-08-21</t>
        </is>
      </c>
      <c r="B225" t="inlineStr">
        <is>
          <t xml:space="preserve">5R00NS135123-03</t>
        </is>
      </c>
      <c r="C225" t="inlineStr">
        <is>
          <t xml:space="preserve">Development of Distinct Areas in the Human Cerebral Cortex</t>
        </is>
      </c>
      <c r="D225" t="inlineStr">
        <is>
          <t xml:space="preserve">Xuyu Qian</t>
        </is>
      </c>
      <c r="E225" t="inlineStr">
        <is>
          <t xml:space="preserve">Xuyu Qian</t>
        </is>
      </c>
      <c r="F225" t="inlineStr">
        <is>
          <t xml:space="preserve">CHILDREN'S HOSP OF PHILADELPHIA</t>
        </is>
      </c>
      <c r="G225" t="inlineStr">
        <is>
          <t xml:space="preserve">PHILADELPHIA</t>
        </is>
      </c>
      <c r="H225" t="inlineStr">
        <is>
          <t xml:space="preserve">PA</t>
        </is>
      </c>
      <c r="I225" t="inlineStr">
        <is>
          <t xml:space="preserve">NINDS</t>
        </is>
      </c>
      <c r="J225" t="inlineStr">
        <is>
          <t xml:space="preserve">National Institute of Neurological Disorders and Stroke</t>
        </is>
      </c>
      <c r="K225" t="inlineStr">
        <is>
          <t xml:space="preserve">2026</t>
        </is>
      </c>
      <c r="L225" t="inlineStr">
        <is>
          <t xml:space="preserve">249001</t>
        </is>
      </c>
      <c r="M225" t="inlineStr">
        <is>
          <t xml:space="preserve">2024-02-01</t>
        </is>
      </c>
      <c r="N225" t="inlineStr">
        <is>
          <t xml:space="preserve">2028-08-31</t>
        </is>
      </c>
      <c r="O225" t="inlineStr">
        <is>
          <t xml:space="preserve"/>
        </is>
      </c>
      <c r="P225" s="3" t="str">
        <f>HYPERLINK("https://reporter.nih.gov/project-details/11401684","https://reporter.nih.gov/project-details/11401684")</f>
        <v>https://reporter.nih.gov/project-details/11401684</v>
      </c>
    </row>
    <row r="226">
      <c r="A226" t="inlineStr">
        <is>
          <t xml:space="preserve">2026-08-21</t>
        </is>
      </c>
      <c r="B226" t="inlineStr">
        <is>
          <t xml:space="preserve">5R01MH128814-05</t>
        </is>
      </c>
      <c r="C226" t="inlineStr">
        <is>
          <t xml:space="preserve">Brain and Behavioral Development in Autism Spectrum Disorder</t>
        </is>
      </c>
      <c r="D226" t="inlineStr">
        <is>
          <t xml:space="preserve">David G Amaral</t>
        </is>
      </c>
      <c r="E226" t="inlineStr">
        <is>
          <t xml:space="preserve">David G Amaral; Christine Wu Nordahl</t>
        </is>
      </c>
      <c r="F226" t="inlineStr">
        <is>
          <t xml:space="preserve">UNIVERSITY OF CALIFORNIA AT DAVIS</t>
        </is>
      </c>
      <c r="G226" t="inlineStr">
        <is>
          <t xml:space="preserve">DAVIS</t>
        </is>
      </c>
      <c r="H226" t="inlineStr">
        <is>
          <t xml:space="preserve">CA</t>
        </is>
      </c>
      <c r="I226" t="inlineStr">
        <is>
          <t xml:space="preserve">NIMH</t>
        </is>
      </c>
      <c r="J226" t="inlineStr">
        <is>
          <t xml:space="preserve">National Institute of Mental Health</t>
        </is>
      </c>
      <c r="K226" t="inlineStr">
        <is>
          <t xml:space="preserve">2026</t>
        </is>
      </c>
      <c r="L226" t="inlineStr">
        <is>
          <t xml:space="preserve">800109</t>
        </is>
      </c>
      <c r="M226" t="inlineStr">
        <is>
          <t xml:space="preserve">2022-08-05</t>
        </is>
      </c>
      <c r="N226" t="inlineStr">
        <is>
          <t xml:space="preserve">2027-05-31</t>
        </is>
      </c>
      <c r="O226" t="inlineStr">
        <is>
          <t xml:space="preserve"/>
        </is>
      </c>
      <c r="P226" s="3" t="str">
        <f>HYPERLINK("https://reporter.nih.gov/project-details/11381596","https://reporter.nih.gov/project-details/11381596")</f>
        <v>https://reporter.nih.gov/project-details/11381596</v>
      </c>
    </row>
    <row r="227">
      <c r="A227" t="inlineStr">
        <is>
          <t xml:space="preserve">2026-08-21</t>
        </is>
      </c>
      <c r="B227" t="inlineStr">
        <is>
          <t xml:space="preserve">1R01NS150458-01</t>
        </is>
      </c>
      <c r="C227" t="inlineStr">
        <is>
          <t xml:space="preserve">Investigating the role of Growth differentiation factor 11 (GDF11) in neurodevelopmental disorders</t>
        </is>
      </c>
      <c r="D227" t="inlineStr">
        <is>
          <t xml:space="preserve">Sameer Bajikar</t>
        </is>
      </c>
      <c r="E227" t="inlineStr">
        <is>
          <t xml:space="preserve">Sameer Bajikar</t>
        </is>
      </c>
      <c r="F227" t="inlineStr">
        <is>
          <t xml:space="preserve">UNIVERSITY OF VIRGINIA</t>
        </is>
      </c>
      <c r="G227" t="inlineStr">
        <is>
          <t xml:space="preserve">CHARLOTTESVILLE</t>
        </is>
      </c>
      <c r="H227" t="inlineStr">
        <is>
          <t xml:space="preserve">VA</t>
        </is>
      </c>
      <c r="I227" t="inlineStr">
        <is>
          <t xml:space="preserve">NINDS</t>
        </is>
      </c>
      <c r="J227" t="inlineStr">
        <is>
          <t xml:space="preserve">National Institute of Neurological Disorders and Stroke</t>
        </is>
      </c>
      <c r="K227" t="inlineStr">
        <is>
          <t xml:space="preserve">2026</t>
        </is>
      </c>
      <c r="L227" t="inlineStr">
        <is>
          <t xml:space="preserve">490593</t>
        </is>
      </c>
      <c r="M227" t="inlineStr">
        <is>
          <t xml:space="preserve">2026-09-01</t>
        </is>
      </c>
      <c r="N227" t="inlineStr">
        <is>
          <t xml:space="preserve">2031-05-31</t>
        </is>
      </c>
      <c r="O227" t="inlineStr">
        <is>
          <t xml:space="preserve">Small molecule</t>
        </is>
      </c>
      <c r="P227" s="3" t="str">
        <f>HYPERLINK("https://reporter.nih.gov/project-details/11432464","https://reporter.nih.gov/project-details/11432464")</f>
        <v>https://reporter.nih.gov/project-details/11432464</v>
      </c>
    </row>
    <row r="228">
      <c r="A228" t="inlineStr">
        <is>
          <t xml:space="preserve">2026-08-21</t>
        </is>
      </c>
      <c r="B228" t="inlineStr">
        <is>
          <t xml:space="preserve">5U19NS132720-04</t>
        </is>
      </c>
      <c r="C228" t="inlineStr">
        <is>
          <t xml:space="preserve">Mechanisms of neural circuit dynamics in working memory and decision-making</t>
        </is>
      </c>
      <c r="D228" t="inlineStr">
        <is>
          <t xml:space="preserve">Carlos D Brody</t>
        </is>
      </c>
      <c r="E228" t="inlineStr">
        <is>
          <t xml:space="preserve">Carlos D Brody; Ila R. Fiete; MARK S GOLDMAN; Jonathan William Pillow</t>
        </is>
      </c>
      <c r="F228" t="inlineStr">
        <is>
          <t xml:space="preserve">PRINCETON UNIVERSITY</t>
        </is>
      </c>
      <c r="G228" t="inlineStr">
        <is>
          <t xml:space="preserve">Princeton</t>
        </is>
      </c>
      <c r="H228" t="inlineStr">
        <is>
          <t xml:space="preserve">NJ</t>
        </is>
      </c>
      <c r="I228" t="inlineStr">
        <is>
          <t xml:space="preserve">NINDS</t>
        </is>
      </c>
      <c r="J228" t="inlineStr">
        <is>
          <t xml:space="preserve">National Institute of Neurological Disorders and Stroke</t>
        </is>
      </c>
      <c r="K228" t="inlineStr">
        <is>
          <t xml:space="preserve">2026</t>
        </is>
      </c>
      <c r="L228" t="inlineStr">
        <is>
          <t xml:space="preserve">4189593</t>
        </is>
      </c>
      <c r="M228" t="inlineStr">
        <is>
          <t xml:space="preserve">2023-08-08</t>
        </is>
      </c>
      <c r="N228" t="inlineStr">
        <is>
          <t xml:space="preserve">2028-06-30</t>
        </is>
      </c>
      <c r="O228" t="inlineStr">
        <is>
          <t xml:space="preserve"/>
        </is>
      </c>
      <c r="P228" s="3" t="str">
        <f>HYPERLINK("https://reporter.nih.gov/project-details/11385500","https://reporter.nih.gov/project-details/11385500")</f>
        <v>https://reporter.nih.gov/project-details/11385500</v>
      </c>
    </row>
    <row r="229">
      <c r="A229" t="inlineStr">
        <is>
          <t xml:space="preserve">2026-08-21</t>
        </is>
      </c>
      <c r="B229" t="inlineStr">
        <is>
          <t xml:space="preserve">1K08NS150851-01</t>
        </is>
      </c>
      <c r="C229" t="inlineStr">
        <is>
          <t xml:space="preserve">Investigating spreading depolarization as a central mechanism of electroconvulsive therapy in a mouse neurodevelopmental model</t>
        </is>
      </c>
      <c r="D229" t="inlineStr">
        <is>
          <t xml:space="preserve">Zachary Pollack Rosenthal</t>
        </is>
      </c>
      <c r="E229" t="inlineStr">
        <is>
          <t xml:space="preserve">Zachary Pollack Rosenthal</t>
        </is>
      </c>
      <c r="F229" t="inlineStr">
        <is>
          <t xml:space="preserve">UNIVERSITY OF PENNSYLVANIA</t>
        </is>
      </c>
      <c r="G229" t="inlineStr">
        <is>
          <t xml:space="preserve">PHILADELPHIA</t>
        </is>
      </c>
      <c r="H229" t="inlineStr">
        <is>
          <t xml:space="preserve">PA</t>
        </is>
      </c>
      <c r="I229" t="inlineStr">
        <is>
          <t xml:space="preserve">NINDS</t>
        </is>
      </c>
      <c r="J229" t="inlineStr">
        <is>
          <t xml:space="preserve">National Institute of Neurological Disorders and Stroke</t>
        </is>
      </c>
      <c r="K229" t="inlineStr">
        <is>
          <t xml:space="preserve">2026</t>
        </is>
      </c>
      <c r="L229" t="inlineStr">
        <is>
          <t xml:space="preserve">233726</t>
        </is>
      </c>
      <c r="M229" t="inlineStr">
        <is>
          <t xml:space="preserve">2026-09-01</t>
        </is>
      </c>
      <c r="N229" t="inlineStr">
        <is>
          <t xml:space="preserve">2031-08-31</t>
        </is>
      </c>
      <c r="O229" t="inlineStr">
        <is>
          <t xml:space="preserve">Small molecule, Device / stimulation</t>
        </is>
      </c>
      <c r="P229" s="3" t="str">
        <f>HYPERLINK("https://reporter.nih.gov/project-details/11435318","https://reporter.nih.gov/project-details/11435318")</f>
        <v>https://reporter.nih.gov/project-details/11435318</v>
      </c>
    </row>
    <row r="230">
      <c r="A230" t="inlineStr">
        <is>
          <t xml:space="preserve">2026-08-21</t>
        </is>
      </c>
      <c r="B230" t="inlineStr">
        <is>
          <t xml:space="preserve">5K23HD117039-02</t>
        </is>
      </c>
      <c r="C230" t="inlineStr">
        <is>
          <t xml:space="preserve">Improving Health Care Communication and Engagement for Adults with Down syndrome</t>
        </is>
      </c>
      <c r="D230" t="inlineStr">
        <is>
          <t xml:space="preserve">Jessica Solomon Sanders</t>
        </is>
      </c>
      <c r="E230" t="inlineStr">
        <is>
          <t xml:space="preserve">Jessica Solomon Sanders</t>
        </is>
      </c>
      <c r="F230" t="inlineStr">
        <is>
          <t xml:space="preserve">UNIVERSITY OF COLORADO DENVER</t>
        </is>
      </c>
      <c r="G230" t="inlineStr">
        <is>
          <t xml:space="preserve">Aurora</t>
        </is>
      </c>
      <c r="H230" t="inlineStr">
        <is>
          <t xml:space="preserve">CO</t>
        </is>
      </c>
      <c r="I230" t="inlineStr">
        <is>
          <t xml:space="preserve">NICHD</t>
        </is>
      </c>
      <c r="J230" t="inlineStr">
        <is>
          <t xml:space="preserve">Eunice Kennedy Shriver National Institute of Child Health and Human Development</t>
        </is>
      </c>
      <c r="K230" t="inlineStr">
        <is>
          <t xml:space="preserve">2026</t>
        </is>
      </c>
      <c r="L230" t="inlineStr">
        <is>
          <t xml:space="preserve">163820</t>
        </is>
      </c>
      <c r="M230" t="inlineStr">
        <is>
          <t xml:space="preserve">2025-09-03</t>
        </is>
      </c>
      <c r="N230" t="inlineStr">
        <is>
          <t xml:space="preserve">2030-08-31</t>
        </is>
      </c>
      <c r="O230" t="inlineStr">
        <is>
          <t xml:space="preserve"/>
        </is>
      </c>
      <c r="P230" s="3" t="str">
        <f>HYPERLINK("https://reporter.nih.gov/project-details/11405031","https://reporter.nih.gov/project-details/11405031")</f>
        <v>https://reporter.nih.gov/project-details/11405031</v>
      </c>
    </row>
    <row r="231">
      <c r="A231" t="inlineStr">
        <is>
          <t xml:space="preserve">2026-08-21</t>
        </is>
      </c>
      <c r="B231" t="inlineStr">
        <is>
          <t xml:space="preserve">5R00MH128540-04</t>
        </is>
      </c>
      <c r="C231" t="inlineStr">
        <is>
          <t xml:space="preserve">Genomics of OCD in Latin American Communities</t>
        </is>
      </c>
      <c r="D231" t="inlineStr">
        <is>
          <t xml:space="preserve">Carolina Cappi</t>
        </is>
      </c>
      <c r="E231" t="inlineStr">
        <is>
          <t xml:space="preserve">Carolina Cappi</t>
        </is>
      </c>
      <c r="F231" t="inlineStr">
        <is>
          <t xml:space="preserve">RUTGERS BIOMEDICAL AND HEALTH SCIENCES</t>
        </is>
      </c>
      <c r="G231" t="inlineStr">
        <is>
          <t xml:space="preserve">Newark</t>
        </is>
      </c>
      <c r="H231" t="inlineStr">
        <is>
          <t xml:space="preserve">NJ</t>
        </is>
      </c>
      <c r="I231" t="inlineStr">
        <is>
          <t xml:space="preserve">NIMH</t>
        </is>
      </c>
      <c r="J231" t="inlineStr">
        <is>
          <t xml:space="preserve">National Institute of Mental Health</t>
        </is>
      </c>
      <c r="K231" t="inlineStr">
        <is>
          <t xml:space="preserve">2026</t>
        </is>
      </c>
      <c r="L231" t="inlineStr">
        <is>
          <t xml:space="preserve">249000</t>
        </is>
      </c>
      <c r="M231" t="inlineStr">
        <is>
          <t xml:space="preserve">2023-07-07</t>
        </is>
      </c>
      <c r="N231" t="inlineStr">
        <is>
          <t xml:space="preserve">2028-07-31</t>
        </is>
      </c>
      <c r="O231" t="inlineStr">
        <is>
          <t xml:space="preserve">Small molecule</t>
        </is>
      </c>
      <c r="P231" s="3" t="str">
        <f>HYPERLINK("https://reporter.nih.gov/project-details/11413828","https://reporter.nih.gov/project-details/11413828")</f>
        <v>https://reporter.nih.gov/project-details/11413828</v>
      </c>
    </row>
    <row r="232">
      <c r="A232" t="inlineStr">
        <is>
          <t xml:space="preserve">2026-08-20</t>
        </is>
      </c>
      <c r="B232" t="inlineStr">
        <is>
          <t xml:space="preserve">5K23MH128451-05</t>
        </is>
      </c>
      <c r="C232" t="inlineStr">
        <is>
          <t xml:space="preserve">Multimodal imaging biomarkers of cognitive control network deficits in youths with disruptive behavior</t>
        </is>
      </c>
      <c r="D232" t="inlineStr">
        <is>
          <t xml:space="preserve">Karim Ibrahim</t>
        </is>
      </c>
      <c r="E232" t="inlineStr">
        <is>
          <t xml:space="preserve">Karim Ibrahim</t>
        </is>
      </c>
      <c r="F232" t="inlineStr">
        <is>
          <t xml:space="preserve">YALE UNIVERSITY</t>
        </is>
      </c>
      <c r="G232" t="inlineStr">
        <is>
          <t xml:space="preserve">NEW HAVEN</t>
        </is>
      </c>
      <c r="H232" t="inlineStr">
        <is>
          <t xml:space="preserve">CT</t>
        </is>
      </c>
      <c r="I232" t="inlineStr">
        <is>
          <t xml:space="preserve">NIMH</t>
        </is>
      </c>
      <c r="J232" t="inlineStr">
        <is>
          <t xml:space="preserve">National Institute of Mental Health</t>
        </is>
      </c>
      <c r="K232" t="inlineStr">
        <is>
          <t xml:space="preserve">2026</t>
        </is>
      </c>
      <c r="L232" t="inlineStr">
        <is>
          <t xml:space="preserve">190403</t>
        </is>
      </c>
      <c r="M232" t="inlineStr">
        <is>
          <t xml:space="preserve">2022-09-16</t>
        </is>
      </c>
      <c r="N232" t="inlineStr">
        <is>
          <t xml:space="preserve">2027-08-31</t>
        </is>
      </c>
      <c r="O232" t="inlineStr">
        <is>
          <t xml:space="preserve"/>
        </is>
      </c>
      <c r="P232" s="3" t="str">
        <f>HYPERLINK("https://reporter.nih.gov/project-details/11397521","https://reporter.nih.gov/project-details/11397521")</f>
        <v>https://reporter.nih.gov/project-details/11397521</v>
      </c>
    </row>
    <row r="233">
      <c r="A233" t="inlineStr">
        <is>
          <t xml:space="preserve">2026-08-20</t>
        </is>
      </c>
      <c r="B233" t="inlineStr">
        <is>
          <t xml:space="preserve">5K23DC022306-02</t>
        </is>
      </c>
      <c r="C233" t="inlineStr">
        <is>
          <t xml:space="preserve">Adapting ECHO for Autistic Children's Communication</t>
        </is>
      </c>
      <c r="D233" t="inlineStr">
        <is>
          <t xml:space="preserve">Andrea Lynn Boh Ford</t>
        </is>
      </c>
      <c r="E233" t="inlineStr">
        <is>
          <t xml:space="preserve">Andrea Lynn Boh Ford</t>
        </is>
      </c>
      <c r="F233" t="inlineStr">
        <is>
          <t xml:space="preserve">UNIVERSITY OF CINCINNATI</t>
        </is>
      </c>
      <c r="G233" t="inlineStr">
        <is>
          <t xml:space="preserve">CINCINNATI</t>
        </is>
      </c>
      <c r="H233" t="inlineStr">
        <is>
          <t xml:space="preserve">OH</t>
        </is>
      </c>
      <c r="I233" t="inlineStr">
        <is>
          <t xml:space="preserve">NIDCD</t>
        </is>
      </c>
      <c r="J233" t="inlineStr">
        <is>
          <t xml:space="preserve">National Institute on Deafness and Other Communication Disorders</t>
        </is>
      </c>
      <c r="K233" t="inlineStr">
        <is>
          <t xml:space="preserve">2026</t>
        </is>
      </c>
      <c r="L233" t="inlineStr">
        <is>
          <t xml:space="preserve">191268</t>
        </is>
      </c>
      <c r="M233" t="inlineStr">
        <is>
          <t xml:space="preserve">2025-09-01</t>
        </is>
      </c>
      <c r="N233" t="inlineStr">
        <is>
          <t xml:space="preserve">2029-08-31</t>
        </is>
      </c>
      <c r="O233" t="inlineStr">
        <is>
          <t xml:space="preserve">Behavioral</t>
        </is>
      </c>
      <c r="P233" s="3" t="str">
        <f>HYPERLINK("https://reporter.nih.gov/project-details/11380929","https://reporter.nih.gov/project-details/11380929")</f>
        <v>https://reporter.nih.gov/project-details/11380929</v>
      </c>
    </row>
    <row r="234">
      <c r="A234" t="inlineStr">
        <is>
          <t xml:space="preserve">2026-08-20</t>
        </is>
      </c>
      <c r="B234" t="inlineStr">
        <is>
          <t xml:space="preserve">5P50HD109861-05</t>
        </is>
      </c>
      <c r="C234" t="inlineStr">
        <is>
          <t xml:space="preserve">Center for Sleep in Autism Spectrum Disorder</t>
        </is>
      </c>
      <c r="D234" t="inlineStr">
        <is>
          <t xml:space="preserve">JOACHIM F HALLMAYER</t>
        </is>
      </c>
      <c r="E234" t="inlineStr">
        <is>
          <t xml:space="preserve">JOACHIM F HALLMAYER</t>
        </is>
      </c>
      <c r="F234" t="inlineStr">
        <is>
          <t xml:space="preserve">STANFORD UNIVERSITY</t>
        </is>
      </c>
      <c r="G234" t="inlineStr">
        <is>
          <t xml:space="preserve">STANFORD</t>
        </is>
      </c>
      <c r="H234" t="inlineStr">
        <is>
          <t xml:space="preserve">CA</t>
        </is>
      </c>
      <c r="I234" t="inlineStr">
        <is>
          <t xml:space="preserve">NICHD</t>
        </is>
      </c>
      <c r="J234" t="inlineStr">
        <is>
          <t xml:space="preserve">Eunice Kennedy Shriver National Institute of Child Health and Human Development</t>
        </is>
      </c>
      <c r="K234" t="inlineStr">
        <is>
          <t xml:space="preserve">2026</t>
        </is>
      </c>
      <c r="L234" t="inlineStr">
        <is>
          <t xml:space="preserve">1945940</t>
        </is>
      </c>
      <c r="M234" t="inlineStr">
        <is>
          <t xml:space="preserve">2022-09-06</t>
        </is>
      </c>
      <c r="N234" t="inlineStr">
        <is>
          <t xml:space="preserve">2027-08-31</t>
        </is>
      </c>
      <c r="O234" t="inlineStr">
        <is>
          <t xml:space="preserve">Small molecule</t>
        </is>
      </c>
      <c r="P234" s="3" t="str">
        <f>HYPERLINK("https://reporter.nih.gov/project-details/11408795","https://reporter.nih.gov/project-details/11408795")</f>
        <v>https://reporter.nih.gov/project-details/11408795</v>
      </c>
    </row>
    <row r="235">
      <c r="A235" t="inlineStr">
        <is>
          <t xml:space="preserve">2026-08-20</t>
        </is>
      </c>
      <c r="B235" t="inlineStr">
        <is>
          <t xml:space="preserve">5R01HD108138-04</t>
        </is>
      </c>
      <c r="C235" t="inlineStr">
        <is>
          <t xml:space="preserve">Mortality in Autism</t>
        </is>
      </c>
      <c r="D235" t="inlineStr">
        <is>
          <t xml:space="preserve">GUOHUA LI</t>
        </is>
      </c>
      <c r="E235" t="inlineStr">
        <is>
          <t xml:space="preserve">GUOHUA LI</t>
        </is>
      </c>
      <c r="F235" t="inlineStr">
        <is>
          <t xml:space="preserve">COLUMBIA UNIVERSITY HEALTH SCIENCES</t>
        </is>
      </c>
      <c r="G235" t="inlineStr">
        <is>
          <t xml:space="preserve">NEW YORK</t>
        </is>
      </c>
      <c r="H235" t="inlineStr">
        <is>
          <t xml:space="preserve">NY</t>
        </is>
      </c>
      <c r="I235" t="inlineStr">
        <is>
          <t xml:space="preserve">NICHD</t>
        </is>
      </c>
      <c r="J235" t="inlineStr">
        <is>
          <t xml:space="preserve">Eunice Kennedy Shriver National Institute of Child Health and Human Development</t>
        </is>
      </c>
      <c r="K235" t="inlineStr">
        <is>
          <t xml:space="preserve">2026</t>
        </is>
      </c>
      <c r="L235" t="inlineStr">
        <is>
          <t xml:space="preserve">422355</t>
        </is>
      </c>
      <c r="M235" t="inlineStr">
        <is>
          <t xml:space="preserve">2023-09-19</t>
        </is>
      </c>
      <c r="N235" t="inlineStr">
        <is>
          <t xml:space="preserve">2027-08-31</t>
        </is>
      </c>
      <c r="O235" t="inlineStr">
        <is>
          <t xml:space="preserve">Behavioral</t>
        </is>
      </c>
      <c r="P235" s="3" t="str">
        <f>HYPERLINK("https://reporter.nih.gov/project-details/11402260","https://reporter.nih.gov/project-details/11402260")</f>
        <v>https://reporter.nih.gov/project-details/11402260</v>
      </c>
    </row>
    <row r="236">
      <c r="A236" t="inlineStr">
        <is>
          <t xml:space="preserve">2026-08-20</t>
        </is>
      </c>
      <c r="B236" t="inlineStr">
        <is>
          <t xml:space="preserve">1F31DC024129-01</t>
        </is>
      </c>
      <c r="C236" t="inlineStr">
        <is>
          <t xml:space="preserve">Advancing Caregiver-Mediated Speech Intervention for Nonspeaking Autistic Children</t>
        </is>
      </c>
      <c r="D236" t="inlineStr">
        <is>
          <t xml:space="preserve">Ashley Sellers</t>
        </is>
      </c>
      <c r="E236" t="inlineStr">
        <is>
          <t xml:space="preserve">Ashley Sellers</t>
        </is>
      </c>
      <c r="F236" t="inlineStr">
        <is>
          <t xml:space="preserve">FLORIDA STATE UNIVERSITY</t>
        </is>
      </c>
      <c r="G236" t="inlineStr">
        <is>
          <t xml:space="preserve">TALLAHASSEE</t>
        </is>
      </c>
      <c r="H236" t="inlineStr">
        <is>
          <t xml:space="preserve">FL</t>
        </is>
      </c>
      <c r="I236" t="inlineStr">
        <is>
          <t xml:space="preserve">NIDCD</t>
        </is>
      </c>
      <c r="J236" t="inlineStr">
        <is>
          <t xml:space="preserve">National Institute on Deafness and Other Communication Disorders</t>
        </is>
      </c>
      <c r="K236" t="inlineStr">
        <is>
          <t xml:space="preserve">2026</t>
        </is>
      </c>
      <c r="L236" t="inlineStr">
        <is>
          <t xml:space="preserve">40716</t>
        </is>
      </c>
      <c r="M236" t="inlineStr">
        <is>
          <t xml:space="preserve">2026-08-10</t>
        </is>
      </c>
      <c r="N236" t="inlineStr">
        <is>
          <t xml:space="preserve">2028-08-31</t>
        </is>
      </c>
      <c r="O236" t="inlineStr">
        <is>
          <t xml:space="preserve">Behavioral</t>
        </is>
      </c>
      <c r="P236" s="3" t="str">
        <f>HYPERLINK("https://reporter.nih.gov/project-details/11462580","https://reporter.nih.gov/project-details/11462580")</f>
        <v>https://reporter.nih.gov/project-details/11462580</v>
      </c>
    </row>
    <row r="237">
      <c r="A237" t="inlineStr">
        <is>
          <t xml:space="preserve">2026-08-20</t>
        </is>
      </c>
      <c r="B237" t="inlineStr">
        <is>
          <t xml:space="preserve">3R01MH127573-05S1</t>
        </is>
      </c>
      <c r="C237" t="inlineStr">
        <is>
          <t xml:space="preserve">Autism Caregiver Coaching in Africa</t>
        </is>
      </c>
      <c r="D237" t="inlineStr">
        <is>
          <t xml:space="preserve">Lauren Franz</t>
        </is>
      </c>
      <c r="E237" t="inlineStr">
        <is>
          <t xml:space="preserve">Lauren Franz</t>
        </is>
      </c>
      <c r="F237" t="inlineStr">
        <is>
          <t xml:space="preserve">DUKE UNIVERSITY</t>
        </is>
      </c>
      <c r="G237" t="inlineStr">
        <is>
          <t xml:space="preserve">DURHAM</t>
        </is>
      </c>
      <c r="H237" t="inlineStr">
        <is>
          <t xml:space="preserve">NC</t>
        </is>
      </c>
      <c r="I237" t="inlineStr">
        <is>
          <t xml:space="preserve">NIMH</t>
        </is>
      </c>
      <c r="J237" t="inlineStr">
        <is>
          <t xml:space="preserve">National Institute of Mental Health</t>
        </is>
      </c>
      <c r="K237" t="inlineStr">
        <is>
          <t xml:space="preserve">2026</t>
        </is>
      </c>
      <c r="L237" t="inlineStr">
        <is>
          <t xml:space="preserve">248706</t>
        </is>
      </c>
      <c r="M237" t="inlineStr">
        <is>
          <t xml:space="preserve">2022-08-17</t>
        </is>
      </c>
      <c r="N237" t="inlineStr">
        <is>
          <t xml:space="preserve">2027-06-30</t>
        </is>
      </c>
      <c r="O237" t="inlineStr">
        <is>
          <t xml:space="preserve">Behavioral</t>
        </is>
      </c>
      <c r="P237" s="3" t="str">
        <f>HYPERLINK("https://reporter.nih.gov/project-details/11580298","https://reporter.nih.gov/project-details/11580298")</f>
        <v>https://reporter.nih.gov/project-details/11580298</v>
      </c>
    </row>
    <row r="238">
      <c r="A238" t="inlineStr">
        <is>
          <t xml:space="preserve">2026-08-20</t>
        </is>
      </c>
      <c r="B238" t="inlineStr">
        <is>
          <t xml:space="preserve">1R21HD122964-01</t>
        </is>
      </c>
      <c r="C238" t="inlineStr">
        <is>
          <t xml:space="preserve">Early Developmental Trajectories of Speech and Language Predict Different Pathways To Later Outcomes in Late-Talking Children</t>
        </is>
      </c>
      <c r="D238" t="inlineStr">
        <is>
          <t xml:space="preserve">Gordon James Ramsay</t>
        </is>
      </c>
      <c r="E238" t="inlineStr">
        <is>
          <t xml:space="preserve">Gordon James Ramsay</t>
        </is>
      </c>
      <c r="F238" t="inlineStr">
        <is>
          <t xml:space="preserve">EMORY UNIVERSITY</t>
        </is>
      </c>
      <c r="G238" t="inlineStr">
        <is>
          <t xml:space="preserve">ATLANTA</t>
        </is>
      </c>
      <c r="H238" t="inlineStr">
        <is>
          <t xml:space="preserve">GA</t>
        </is>
      </c>
      <c r="I238" t="inlineStr">
        <is>
          <t xml:space="preserve">NICHD</t>
        </is>
      </c>
      <c r="J238" t="inlineStr">
        <is>
          <t xml:space="preserve">Eunice Kennedy Shriver National Institute of Child Health and Human Development</t>
        </is>
      </c>
      <c r="K238" t="inlineStr">
        <is>
          <t xml:space="preserve">2026</t>
        </is>
      </c>
      <c r="L238" t="inlineStr">
        <is>
          <t xml:space="preserve">438266</t>
        </is>
      </c>
      <c r="M238" t="inlineStr">
        <is>
          <t xml:space="preserve">2026-09-01</t>
        </is>
      </c>
      <c r="N238" t="inlineStr">
        <is>
          <t xml:space="preserve">2028-08-31</t>
        </is>
      </c>
      <c r="O238" t="inlineStr">
        <is>
          <t xml:space="preserve">Behavioral</t>
        </is>
      </c>
      <c r="P238" s="3" t="str">
        <f>HYPERLINK("https://reporter.nih.gov/project-details/11427795","https://reporter.nih.gov/project-details/11427795")</f>
        <v>https://reporter.nih.gov/project-details/11427795</v>
      </c>
    </row>
    <row r="239">
      <c r="A239" t="inlineStr">
        <is>
          <t xml:space="preserve">2026-08-20</t>
        </is>
      </c>
      <c r="B239" t="inlineStr">
        <is>
          <t xml:space="preserve">3U01HD116469-02S5</t>
        </is>
      </c>
      <c r="C239" t="inlineStr">
        <is>
          <t xml:space="preserve">Human Trisome Project - Latin America Network</t>
        </is>
      </c>
      <c r="D239" t="inlineStr">
        <is>
          <t xml:space="preserve">Joaquin M. Espinosa</t>
        </is>
      </c>
      <c r="E239" t="inlineStr">
        <is>
          <t xml:space="preserve">Joaquin M. Espinosa; Angela Lynn Rachubinski</t>
        </is>
      </c>
      <c r="F239" t="inlineStr">
        <is>
          <t xml:space="preserve">UNIVERSITY OF COLORADO DENVER</t>
        </is>
      </c>
      <c r="G239" t="inlineStr">
        <is>
          <t xml:space="preserve">Aurora</t>
        </is>
      </c>
      <c r="H239" t="inlineStr">
        <is>
          <t xml:space="preserve">CO</t>
        </is>
      </c>
      <c r="I239" t="inlineStr">
        <is>
          <t xml:space="preserve">NICHD</t>
        </is>
      </c>
      <c r="J239" t="inlineStr">
        <is>
          <t xml:space="preserve">Eunice Kennedy Shriver National Institute of Child Health and Human Development</t>
        </is>
      </c>
      <c r="K239" t="inlineStr">
        <is>
          <t xml:space="preserve">2026</t>
        </is>
      </c>
      <c r="L239" t="inlineStr">
        <is>
          <t xml:space="preserve">269101</t>
        </is>
      </c>
      <c r="M239" t="inlineStr">
        <is>
          <t xml:space="preserve">2024-09-20</t>
        </is>
      </c>
      <c r="N239" t="inlineStr">
        <is>
          <t xml:space="preserve">2029-05-31</t>
        </is>
      </c>
      <c r="O239" t="inlineStr">
        <is>
          <t xml:space="preserve">Small molecule, Behavioral</t>
        </is>
      </c>
      <c r="P239" s="3" t="str">
        <f>HYPERLINK("https://reporter.nih.gov/project-details/11594209","https://reporter.nih.gov/project-details/11594209")</f>
        <v>https://reporter.nih.gov/project-details/11594209</v>
      </c>
    </row>
    <row r="240">
      <c r="A240" t="inlineStr">
        <is>
          <t xml:space="preserve">2026-08-20</t>
        </is>
      </c>
      <c r="B240" t="inlineStr">
        <is>
          <t xml:space="preserve">2R01AA029008-06A1</t>
        </is>
      </c>
      <c r="C240" t="inlineStr">
        <is>
          <t xml:space="preserve">Prevalence, Onset and Progression of Substance Use in Adolescents and Young Adults with Autism Spectrum Disorders</t>
        </is>
      </c>
      <c r="D240" t="inlineStr">
        <is>
          <t xml:space="preserve">Kristina Melia Jackson</t>
        </is>
      </c>
      <c r="E240" t="inlineStr">
        <is>
          <t xml:space="preserve">Kristina Melia Jackson; STEPHEN J SHEINKOPF</t>
        </is>
      </c>
      <c r="F240" t="inlineStr">
        <is>
          <t xml:space="preserve">RUTGERS BIOMEDICAL AND HEALTH SCIENCES</t>
        </is>
      </c>
      <c r="G240" t="inlineStr">
        <is>
          <t xml:space="preserve">Newark</t>
        </is>
      </c>
      <c r="H240" t="inlineStr">
        <is>
          <t xml:space="preserve">NJ</t>
        </is>
      </c>
      <c r="I240" t="inlineStr">
        <is>
          <t xml:space="preserve">NIAAA</t>
        </is>
      </c>
      <c r="J240" t="inlineStr">
        <is>
          <t xml:space="preserve">National Institute on Alcohol Abuse and Alcoholism</t>
        </is>
      </c>
      <c r="K240" t="inlineStr">
        <is>
          <t xml:space="preserve">2026</t>
        </is>
      </c>
      <c r="L240" t="inlineStr">
        <is>
          <t xml:space="preserve">720089</t>
        </is>
      </c>
      <c r="M240" t="inlineStr">
        <is>
          <t xml:space="preserve">2026-08-18</t>
        </is>
      </c>
      <c r="N240" t="inlineStr">
        <is>
          <t xml:space="preserve">2031-07-31</t>
        </is>
      </c>
      <c r="O240" t="inlineStr">
        <is>
          <t xml:space="preserve"/>
        </is>
      </c>
      <c r="P240" s="3" t="str">
        <f>HYPERLINK("https://reporter.nih.gov/project-details/11448911","https://reporter.nih.gov/project-details/11448911")</f>
        <v>https://reporter.nih.gov/project-details/11448911</v>
      </c>
    </row>
    <row r="241">
      <c r="A241" t="inlineStr">
        <is>
          <t xml:space="preserve">2026-08-20</t>
        </is>
      </c>
      <c r="B241" t="inlineStr">
        <is>
          <t xml:space="preserve">3R01MH142539-01S1</t>
        </is>
      </c>
      <c r="C241" t="inlineStr">
        <is>
          <t xml:space="preserve">Global Initiative for Harmonized Functional MRI in Psychiatry</t>
        </is>
      </c>
      <c r="D241" t="inlineStr">
        <is>
          <t xml:space="preserve">PAUL M THOMPSON</t>
        </is>
      </c>
      <c r="E241" t="inlineStr">
        <is>
          <t xml:space="preserve">FRANK GERARD HILLARY; Clara A Moreau; PAUL M THOMPSON</t>
        </is>
      </c>
      <c r="F241" t="inlineStr">
        <is>
          <t xml:space="preserve">UNIVERSITY OF SOUTHERN CALIFORNIA</t>
        </is>
      </c>
      <c r="G241" t="inlineStr">
        <is>
          <t xml:space="preserve">Los Angeles</t>
        </is>
      </c>
      <c r="H241" t="inlineStr">
        <is>
          <t xml:space="preserve">CA</t>
        </is>
      </c>
      <c r="I241" t="inlineStr">
        <is>
          <t xml:space="preserve">NIMH</t>
        </is>
      </c>
      <c r="J241" t="inlineStr">
        <is>
          <t xml:space="preserve">National Institute of Mental Health</t>
        </is>
      </c>
      <c r="K241" t="inlineStr">
        <is>
          <t xml:space="preserve">2026</t>
        </is>
      </c>
      <c r="L241" t="inlineStr">
        <is>
          <t xml:space="preserve">194400</t>
        </is>
      </c>
      <c r="M241" t="inlineStr">
        <is>
          <t xml:space="preserve">2026-08-06</t>
        </is>
      </c>
      <c r="N241" t="inlineStr">
        <is>
          <t xml:space="preserve">2031-07-31</t>
        </is>
      </c>
      <c r="O241" t="inlineStr">
        <is>
          <t xml:space="preserve">Small molecule</t>
        </is>
      </c>
      <c r="P241" s="3" t="str">
        <f>HYPERLINK("https://reporter.nih.gov/project-details/11603614","https://reporter.nih.gov/project-details/11603614")</f>
        <v>https://reporter.nih.gov/project-details/11603614</v>
      </c>
    </row>
    <row r="242">
      <c r="A242" t="inlineStr">
        <is>
          <t xml:space="preserve">2026-08-20</t>
        </is>
      </c>
      <c r="B242" t="inlineStr">
        <is>
          <t xml:space="preserve">5U2RTW010108-10</t>
        </is>
      </c>
      <c r="C242" t="inlineStr">
        <is>
          <t xml:space="preserve">2/2-GEOHealth Health Effects of Selected Environmental Exposomes Across the Life CourSe (HEALS)-US</t>
        </is>
      </c>
      <c r="D242" t="inlineStr">
        <is>
          <t xml:space="preserve">Nancy Carol L. Sieber</t>
        </is>
      </c>
      <c r="E242" t="inlineStr">
        <is>
          <t xml:space="preserve">Joel D Schwartz; Nancy Carol L. Sieber</t>
        </is>
      </c>
      <c r="F242" t="inlineStr">
        <is>
          <t xml:space="preserve">HARVARD UNIVERSITY D/B/A HARVARD SCHOOL OF PUBLIC HEALTH</t>
        </is>
      </c>
      <c r="G242" t="inlineStr">
        <is>
          <t xml:space="preserve">BOSTON</t>
        </is>
      </c>
      <c r="H242" t="inlineStr">
        <is>
          <t xml:space="preserve">MA</t>
        </is>
      </c>
      <c r="I242" t="inlineStr">
        <is>
          <t xml:space="preserve">FIC</t>
        </is>
      </c>
      <c r="J242" t="inlineStr">
        <is>
          <t xml:space="preserve">John E. Fogarty International Center for Advanced Study in the Health Sciences</t>
        </is>
      </c>
      <c r="K242" t="inlineStr">
        <is>
          <t xml:space="preserve">2026</t>
        </is>
      </c>
      <c r="L242" t="inlineStr">
        <is>
          <t xml:space="preserve">264312</t>
        </is>
      </c>
      <c r="M242" t="inlineStr">
        <is>
          <t xml:space="preserve">2015-09-28</t>
        </is>
      </c>
      <c r="N242" t="inlineStr">
        <is>
          <t xml:space="preserve">2027-02-28</t>
        </is>
      </c>
      <c r="O242" t="inlineStr">
        <is>
          <t xml:space="preserve"/>
        </is>
      </c>
      <c r="P242" s="3" t="str">
        <f>HYPERLINK("https://reporter.nih.gov/project-details/11291275","https://reporter.nih.gov/project-details/11291275")</f>
        <v>https://reporter.nih.gov/project-details/11291275</v>
      </c>
    </row>
    <row r="243">
      <c r="A243" t="inlineStr">
        <is>
          <t xml:space="preserve">2026-08-20</t>
        </is>
      </c>
      <c r="B243" t="inlineStr">
        <is>
          <t xml:space="preserve">1R01MH140323-01A1</t>
        </is>
      </c>
      <c r="C243" t="inlineStr">
        <is>
          <t xml:space="preserve">Characterization of splicing and isoform dysregulation in ASD at cellular resolution</t>
        </is>
      </c>
      <c r="D243" t="inlineStr">
        <is>
          <t xml:space="preserve">Dalila Pinto</t>
        </is>
      </c>
      <c r="E243" t="inlineStr">
        <is>
          <t xml:space="preserve">Dalila Pinto</t>
        </is>
      </c>
      <c r="F243" t="inlineStr">
        <is>
          <t xml:space="preserve">ICAHN SCHOOL OF MEDICINE AT MOUNT SINAI</t>
        </is>
      </c>
      <c r="G243" t="inlineStr">
        <is>
          <t xml:space="preserve">NEW YORK</t>
        </is>
      </c>
      <c r="H243" t="inlineStr">
        <is>
          <t xml:space="preserve">NY</t>
        </is>
      </c>
      <c r="I243" t="inlineStr">
        <is>
          <t xml:space="preserve">NIMH</t>
        </is>
      </c>
      <c r="J243" t="inlineStr">
        <is>
          <t xml:space="preserve">National Institute of Mental Health</t>
        </is>
      </c>
      <c r="K243" t="inlineStr">
        <is>
          <t xml:space="preserve">2026</t>
        </is>
      </c>
      <c r="L243" t="inlineStr">
        <is>
          <t xml:space="preserve">763265</t>
        </is>
      </c>
      <c r="M243" t="inlineStr">
        <is>
          <t xml:space="preserve">2026-08-18</t>
        </is>
      </c>
      <c r="N243" t="inlineStr">
        <is>
          <t xml:space="preserve">2031-04-30</t>
        </is>
      </c>
      <c r="O243" t="inlineStr">
        <is>
          <t xml:space="preserve">Gene therapy, Peptide, Small molecule</t>
        </is>
      </c>
      <c r="P243" s="3" t="str">
        <f>HYPERLINK("https://reporter.nih.gov/project-details/11234945","https://reporter.nih.gov/project-details/11234945")</f>
        <v>https://reporter.nih.gov/project-details/11234945</v>
      </c>
    </row>
    <row r="244">
      <c r="A244" t="inlineStr">
        <is>
          <t xml:space="preserve">2026-08-20</t>
        </is>
      </c>
      <c r="B244" t="inlineStr">
        <is>
          <t xml:space="preserve">5R01HD107528-05</t>
        </is>
      </c>
      <c r="C244" t="inlineStr">
        <is>
          <t xml:space="preserve">Prenatal medication exposure in autism, birth complications and developmental disabilities</t>
        </is>
      </c>
      <c r="D244" t="inlineStr">
        <is>
          <t xml:space="preserve">ABRAHAM REICHENBERG</t>
        </is>
      </c>
      <c r="E244" t="inlineStr">
        <is>
          <t xml:space="preserve">MAGDALENA JANECKA; ABRAHAM REICHENBERG; Avner Schlessinger</t>
        </is>
      </c>
      <c r="F244" t="inlineStr">
        <is>
          <t xml:space="preserve">ICAHN SCHOOL OF MEDICINE AT MOUNT SINAI</t>
        </is>
      </c>
      <c r="G244" t="inlineStr">
        <is>
          <t xml:space="preserve">NEW YORK</t>
        </is>
      </c>
      <c r="H244" t="inlineStr">
        <is>
          <t xml:space="preserve">NY</t>
        </is>
      </c>
      <c r="I244" t="inlineStr">
        <is>
          <t xml:space="preserve">NICHD</t>
        </is>
      </c>
      <c r="J244" t="inlineStr">
        <is>
          <t xml:space="preserve">Eunice Kennedy Shriver National Institute of Child Health and Human Development</t>
        </is>
      </c>
      <c r="K244" t="inlineStr">
        <is>
          <t xml:space="preserve">2026</t>
        </is>
      </c>
      <c r="L244" t="inlineStr">
        <is>
          <t xml:space="preserve">686840</t>
        </is>
      </c>
      <c r="M244" t="inlineStr">
        <is>
          <t xml:space="preserve">2022-09-13</t>
        </is>
      </c>
      <c r="N244" t="inlineStr">
        <is>
          <t xml:space="preserve">2027-08-31</t>
        </is>
      </c>
      <c r="O244" t="inlineStr">
        <is>
          <t xml:space="preserve">Small molecule</t>
        </is>
      </c>
      <c r="P244" s="3" t="str">
        <f>HYPERLINK("https://reporter.nih.gov/project-details/11391404","https://reporter.nih.gov/project-details/11391404")</f>
        <v>https://reporter.nih.gov/project-details/11391404</v>
      </c>
    </row>
    <row r="245">
      <c r="A245" t="inlineStr">
        <is>
          <t xml:space="preserve">2026-08-20</t>
        </is>
      </c>
      <c r="B245" t="inlineStr">
        <is>
          <t xml:space="preserve">5R01HD108617-04</t>
        </is>
      </c>
      <c r="C245" t="inlineStr">
        <is>
          <t xml:space="preserve">Motivational Refinements for Facilitating Reinforcement Schedule Thinning</t>
        </is>
      </c>
      <c r="D245" t="inlineStr">
        <is>
          <t xml:space="preserve">Brian D. Greer</t>
        </is>
      </c>
      <c r="E245" t="inlineStr">
        <is>
          <t xml:space="preserve">Brian D. Greer</t>
        </is>
      </c>
      <c r="F245" t="inlineStr">
        <is>
          <t xml:space="preserve">RUTGERS BIOMEDICAL AND HEALTH SCIENCES</t>
        </is>
      </c>
      <c r="G245" t="inlineStr">
        <is>
          <t xml:space="preserve">Newark</t>
        </is>
      </c>
      <c r="H245" t="inlineStr">
        <is>
          <t xml:space="preserve">NJ</t>
        </is>
      </c>
      <c r="I245" t="inlineStr">
        <is>
          <t xml:space="preserve">NICHD</t>
        </is>
      </c>
      <c r="J245" t="inlineStr">
        <is>
          <t xml:space="preserve">Eunice Kennedy Shriver National Institute of Child Health and Human Development</t>
        </is>
      </c>
      <c r="K245" t="inlineStr">
        <is>
          <t xml:space="preserve">2026</t>
        </is>
      </c>
      <c r="L245" t="inlineStr">
        <is>
          <t xml:space="preserve">380783</t>
        </is>
      </c>
      <c r="M245" t="inlineStr">
        <is>
          <t xml:space="preserve">2023-09-06</t>
        </is>
      </c>
      <c r="N245" t="inlineStr">
        <is>
          <t xml:space="preserve">2028-08-31</t>
        </is>
      </c>
      <c r="O245" t="inlineStr">
        <is>
          <t xml:space="preserve">Small molecule</t>
        </is>
      </c>
      <c r="P245" s="3" t="str">
        <f>HYPERLINK("https://reporter.nih.gov/project-details/11382157","https://reporter.nih.gov/project-details/11382157")</f>
        <v>https://reporter.nih.gov/project-details/11382157</v>
      </c>
    </row>
    <row r="246">
      <c r="A246" t="inlineStr">
        <is>
          <t xml:space="preserve">2026-08-19</t>
        </is>
      </c>
      <c r="B246" t="inlineStr">
        <is>
          <t xml:space="preserve">1R01AG089578-01A1</t>
        </is>
      </c>
      <c r="C246" t="inlineStr">
        <is>
          <t xml:space="preserve">Multi-omics analysis of astrocytes in Alzheimer's disease to identify targets to prevent synapse loss</t>
        </is>
      </c>
      <c r="D246" t="inlineStr">
        <is>
          <t xml:space="preserve">Nicola J Allen</t>
        </is>
      </c>
      <c r="E246" t="inlineStr">
        <is>
          <t xml:space="preserve">Nicola J Allen</t>
        </is>
      </c>
      <c r="F246" t="inlineStr">
        <is>
          <t xml:space="preserve">SALK INSTITUTE FOR BIOLOGICAL STUDIES</t>
        </is>
      </c>
      <c r="G246" t="inlineStr">
        <is>
          <t xml:space="preserve">La Jolla</t>
        </is>
      </c>
      <c r="H246" t="inlineStr">
        <is>
          <t xml:space="preserve">CA</t>
        </is>
      </c>
      <c r="I246" t="inlineStr">
        <is>
          <t xml:space="preserve">NIA</t>
        </is>
      </c>
      <c r="J246" t="inlineStr">
        <is>
          <t xml:space="preserve">National Institute on Aging</t>
        </is>
      </c>
      <c r="K246" t="inlineStr">
        <is>
          <t xml:space="preserve">2026</t>
        </is>
      </c>
      <c r="L246" t="inlineStr">
        <is>
          <t xml:space="preserve">772971</t>
        </is>
      </c>
      <c r="M246" t="inlineStr">
        <is>
          <t xml:space="preserve">2026-09-01</t>
        </is>
      </c>
      <c r="N246" t="inlineStr">
        <is>
          <t xml:space="preserve">2031-05-31</t>
        </is>
      </c>
      <c r="O246" t="inlineStr">
        <is>
          <t xml:space="preserve">Peptide, Small molecule</t>
        </is>
      </c>
      <c r="P246" s="3" t="str">
        <f>HYPERLINK("https://reporter.nih.gov/project-details/11368327","https://reporter.nih.gov/project-details/11368327")</f>
        <v>https://reporter.nih.gov/project-details/11368327</v>
      </c>
    </row>
    <row r="247">
      <c r="A247" t="inlineStr">
        <is>
          <t xml:space="preserve">2026-08-19</t>
        </is>
      </c>
      <c r="B247" t="inlineStr">
        <is>
          <t xml:space="preserve">1R01HD123007-01</t>
        </is>
      </c>
      <c r="C247" t="inlineStr">
        <is>
          <t xml:space="preserve">Closing Critical Gaps in Antiseizure Medication Safety for Pregnancy and Offspring Health</t>
        </is>
      </c>
      <c r="D247" t="inlineStr">
        <is>
          <t xml:space="preserve">Loreen Straub</t>
        </is>
      </c>
      <c r="E247" t="inlineStr">
        <is>
          <t xml:space="preserve">Loreen Straub</t>
        </is>
      </c>
      <c r="F247" t="inlineStr">
        <is>
          <t xml:space="preserve">BRIGHAM AND WOMEN'S HOSPITAL</t>
        </is>
      </c>
      <c r="G247" t="inlineStr">
        <is>
          <t xml:space="preserve">BOSTON</t>
        </is>
      </c>
      <c r="H247" t="inlineStr">
        <is>
          <t xml:space="preserve">MA</t>
        </is>
      </c>
      <c r="I247" t="inlineStr">
        <is>
          <t xml:space="preserve">NICHD</t>
        </is>
      </c>
      <c r="J247" t="inlineStr">
        <is>
          <t xml:space="preserve">Eunice Kennedy Shriver National Institute of Child Health and Human Development</t>
        </is>
      </c>
      <c r="K247" t="inlineStr">
        <is>
          <t xml:space="preserve">2026</t>
        </is>
      </c>
      <c r="L247" t="inlineStr">
        <is>
          <t xml:space="preserve">846324</t>
        </is>
      </c>
      <c r="M247" t="inlineStr">
        <is>
          <t xml:space="preserve">2026-08-19</t>
        </is>
      </c>
      <c r="N247" t="inlineStr">
        <is>
          <t xml:space="preserve">2031-06-30</t>
        </is>
      </c>
      <c r="O247" t="inlineStr">
        <is>
          <t xml:space="preserve">Small molecule</t>
        </is>
      </c>
      <c r="P247" s="3" t="str">
        <f>HYPERLINK("https://reporter.nih.gov/project-details/11427268","https://reporter.nih.gov/project-details/11427268")</f>
        <v>https://reporter.nih.gov/project-details/11427268</v>
      </c>
    </row>
    <row r="248">
      <c r="A248" t="inlineStr">
        <is>
          <t xml:space="preserve">2026-08-19</t>
        </is>
      </c>
      <c r="B248" t="inlineStr">
        <is>
          <t xml:space="preserve">1R21HD121237-01A1</t>
        </is>
      </c>
      <c r="C248" t="inlineStr">
        <is>
          <t xml:space="preserve">Impact of Urbanicity on Infant Brain Structure and Function via the Gut-Brain Axis</t>
        </is>
      </c>
      <c r="D248" t="inlineStr">
        <is>
          <t xml:space="preserve">Rebecca Knickmeyer</t>
        </is>
      </c>
      <c r="E248" t="inlineStr">
        <is>
          <t xml:space="preserve">Ardaman Kaur; Rebecca Knickmeyer</t>
        </is>
      </c>
      <c r="F248" t="inlineStr">
        <is>
          <t xml:space="preserve">HENRY FORD HEALTH + MICHIGAN STATE UNIVERSITY HEALTH SCIENCES</t>
        </is>
      </c>
      <c r="G248" t="inlineStr">
        <is>
          <t xml:space="preserve">EAST LANSING</t>
        </is>
      </c>
      <c r="H248" t="inlineStr">
        <is>
          <t xml:space="preserve">MI</t>
        </is>
      </c>
      <c r="I248" t="inlineStr">
        <is>
          <t xml:space="preserve">NICHD</t>
        </is>
      </c>
      <c r="J248" t="inlineStr">
        <is>
          <t xml:space="preserve">Eunice Kennedy Shriver National Institute of Child Health and Human Development</t>
        </is>
      </c>
      <c r="K248" t="inlineStr">
        <is>
          <t xml:space="preserve">2026</t>
        </is>
      </c>
      <c r="L248" t="inlineStr">
        <is>
          <t xml:space="preserve">431750</t>
        </is>
      </c>
      <c r="M248" t="inlineStr">
        <is>
          <t xml:space="preserve">2026-08-19</t>
        </is>
      </c>
      <c r="N248" t="inlineStr">
        <is>
          <t xml:space="preserve">2028-08-31</t>
        </is>
      </c>
      <c r="O248" t="inlineStr">
        <is>
          <t xml:space="preserve"/>
        </is>
      </c>
      <c r="P248" s="3" t="str">
        <f>HYPERLINK("https://reporter.nih.gov/project-details/11451272","https://reporter.nih.gov/project-details/11451272")</f>
        <v>https://reporter.nih.gov/project-details/11451272</v>
      </c>
    </row>
    <row r="249">
      <c r="A249" t="inlineStr">
        <is>
          <t xml:space="preserve">2026-08-19</t>
        </is>
      </c>
      <c r="B249" t="inlineStr">
        <is>
          <t xml:space="preserve">1R56MH143740-01</t>
        </is>
      </c>
      <c r="C249" t="inlineStr">
        <is>
          <t xml:space="preserve">Highly Parallel Analysis of High-Confidence ASD and Schizophrenia Risk Gene Mechanisms</t>
        </is>
      </c>
      <c r="D249" t="inlineStr">
        <is>
          <t xml:space="preserve">Xiangdong William Yang</t>
        </is>
      </c>
      <c r="E249" t="inlineStr">
        <is>
          <t xml:space="preserve">DANIEL H GESCHWIND; Xiangdong William Yang</t>
        </is>
      </c>
      <c r="F249" t="inlineStr">
        <is>
          <t xml:space="preserve">UNIVERSITY OF CALIFORNIA LOS ANGELES</t>
        </is>
      </c>
      <c r="G249" t="inlineStr">
        <is>
          <t xml:space="preserve">LOS ANGELES</t>
        </is>
      </c>
      <c r="H249" t="inlineStr">
        <is>
          <t xml:space="preserve">CA</t>
        </is>
      </c>
      <c r="I249" t="inlineStr">
        <is>
          <t xml:space="preserve">NIMH</t>
        </is>
      </c>
      <c r="J249" t="inlineStr">
        <is>
          <t xml:space="preserve">National Institute of Mental Health</t>
        </is>
      </c>
      <c r="K249" t="inlineStr">
        <is>
          <t xml:space="preserve">2026</t>
        </is>
      </c>
      <c r="L249" t="inlineStr">
        <is>
          <t xml:space="preserve">772569</t>
        </is>
      </c>
      <c r="M249" t="inlineStr">
        <is>
          <t xml:space="preserve">2026-08-17</t>
        </is>
      </c>
      <c r="N249" t="inlineStr">
        <is>
          <t xml:space="preserve">2027-08-16</t>
        </is>
      </c>
      <c r="O249" t="inlineStr">
        <is>
          <t xml:space="preserve">Gene therapy</t>
        </is>
      </c>
      <c r="P249" s="3" t="str">
        <f>HYPERLINK("https://reporter.nih.gov/project-details/11606500","https://reporter.nih.gov/project-details/11606500")</f>
        <v>https://reporter.nih.gov/project-details/11606500</v>
      </c>
    </row>
    <row r="250">
      <c r="A250" t="inlineStr">
        <is>
          <t xml:space="preserve">2026-08-19</t>
        </is>
      </c>
      <c r="B250" t="inlineStr">
        <is>
          <t xml:space="preserve">3U01HD116469-02S3</t>
        </is>
      </c>
      <c r="C250" t="inlineStr">
        <is>
          <t xml:space="preserve">Human Trisome Project - Latin America Network</t>
        </is>
      </c>
      <c r="D250" t="inlineStr">
        <is>
          <t xml:space="preserve">Joaquin M. Espinosa</t>
        </is>
      </c>
      <c r="E250" t="inlineStr">
        <is>
          <t xml:space="preserve">Joaquin M. Espinosa; Angela Lynn Rachubinski</t>
        </is>
      </c>
      <c r="F250" t="inlineStr">
        <is>
          <t xml:space="preserve">UNIVERSITY OF COLORADO DENVER</t>
        </is>
      </c>
      <c r="G250" t="inlineStr">
        <is>
          <t xml:space="preserve">Aurora</t>
        </is>
      </c>
      <c r="H250" t="inlineStr">
        <is>
          <t xml:space="preserve">CO</t>
        </is>
      </c>
      <c r="I250" t="inlineStr">
        <is>
          <t xml:space="preserve">NICHD</t>
        </is>
      </c>
      <c r="J250" t="inlineStr">
        <is>
          <t xml:space="preserve">Eunice Kennedy Shriver National Institute of Child Health and Human Development</t>
        </is>
      </c>
      <c r="K250" t="inlineStr">
        <is>
          <t xml:space="preserve">2026</t>
        </is>
      </c>
      <c r="L250" t="inlineStr">
        <is>
          <t xml:space="preserve">269996</t>
        </is>
      </c>
      <c r="M250" t="inlineStr">
        <is>
          <t xml:space="preserve">2024-09-20</t>
        </is>
      </c>
      <c r="N250" t="inlineStr">
        <is>
          <t xml:space="preserve">2029-05-31</t>
        </is>
      </c>
      <c r="O250" t="inlineStr">
        <is>
          <t xml:space="preserve">Small molecule, Behavioral</t>
        </is>
      </c>
      <c r="P250" s="3" t="str">
        <f>HYPERLINK("https://reporter.nih.gov/project-details/11594206","https://reporter.nih.gov/project-details/11594206")</f>
        <v>https://reporter.nih.gov/project-details/11594206</v>
      </c>
    </row>
    <row r="251">
      <c r="A251" t="inlineStr">
        <is>
          <t xml:space="preserve">2026-08-19</t>
        </is>
      </c>
      <c r="B251" t="inlineStr">
        <is>
          <t xml:space="preserve">3U01HD116469-02S4</t>
        </is>
      </c>
      <c r="C251" t="inlineStr">
        <is>
          <t xml:space="preserve">Human Trisome Project - Latin America Network</t>
        </is>
      </c>
      <c r="D251" t="inlineStr">
        <is>
          <t xml:space="preserve">Joaquin M. Espinosa</t>
        </is>
      </c>
      <c r="E251" t="inlineStr">
        <is>
          <t xml:space="preserve">Joaquin M. Espinosa; Angela Lynn Rachubinski</t>
        </is>
      </c>
      <c r="F251" t="inlineStr">
        <is>
          <t xml:space="preserve">UNIVERSITY OF COLORADO DENVER</t>
        </is>
      </c>
      <c r="G251" t="inlineStr">
        <is>
          <t xml:space="preserve">Aurora</t>
        </is>
      </c>
      <c r="H251" t="inlineStr">
        <is>
          <t xml:space="preserve">CO</t>
        </is>
      </c>
      <c r="I251" t="inlineStr">
        <is>
          <t xml:space="preserve">NICHD</t>
        </is>
      </c>
      <c r="J251" t="inlineStr">
        <is>
          <t xml:space="preserve">Eunice Kennedy Shriver National Institute of Child Health and Human Development</t>
        </is>
      </c>
      <c r="K251" t="inlineStr">
        <is>
          <t xml:space="preserve">2026</t>
        </is>
      </c>
      <c r="L251" t="inlineStr">
        <is>
          <t xml:space="preserve">269917</t>
        </is>
      </c>
      <c r="M251" t="inlineStr">
        <is>
          <t xml:space="preserve">2024-09-20</t>
        </is>
      </c>
      <c r="N251" t="inlineStr">
        <is>
          <t xml:space="preserve">2029-05-31</t>
        </is>
      </c>
      <c r="O251" t="inlineStr">
        <is>
          <t xml:space="preserve">Small molecule, Behavioral</t>
        </is>
      </c>
      <c r="P251" s="3" t="str">
        <f>HYPERLINK("https://reporter.nih.gov/project-details/11594208","https://reporter.nih.gov/project-details/11594208")</f>
        <v>https://reporter.nih.gov/project-details/11594208</v>
      </c>
    </row>
    <row r="252">
      <c r="A252" t="inlineStr">
        <is>
          <t xml:space="preserve">2026-08-19</t>
        </is>
      </c>
      <c r="B252" t="inlineStr">
        <is>
          <t xml:space="preserve">5P50MH130957-05</t>
        </is>
      </c>
      <c r="C252" t="inlineStr">
        <is>
          <t xml:space="preserve">Mental Health in Autistic Adults: An RDoC Approach</t>
        </is>
      </c>
      <c r="D252" t="inlineStr">
        <is>
          <t xml:space="preserve">Carla A Mazefsky</t>
        </is>
      </c>
      <c r="E252" t="inlineStr">
        <is>
          <t xml:space="preserve">Carla A Mazefsky</t>
        </is>
      </c>
      <c r="F252" t="inlineStr">
        <is>
          <t xml:space="preserve">UNIVERSITY OF PITTSBURGH AT PITTSBURGH</t>
        </is>
      </c>
      <c r="G252" t="inlineStr">
        <is>
          <t xml:space="preserve">PITTSBURGH</t>
        </is>
      </c>
      <c r="H252" t="inlineStr">
        <is>
          <t xml:space="preserve">PA</t>
        </is>
      </c>
      <c r="I252" t="inlineStr">
        <is>
          <t xml:space="preserve">NIMH</t>
        </is>
      </c>
      <c r="J252" t="inlineStr">
        <is>
          <t xml:space="preserve">National Institute of Mental Health</t>
        </is>
      </c>
      <c r="K252" t="inlineStr">
        <is>
          <t xml:space="preserve">2026</t>
        </is>
      </c>
      <c r="L252" t="inlineStr">
        <is>
          <t xml:space="preserve">2256422</t>
        </is>
      </c>
      <c r="M252" t="inlineStr">
        <is>
          <t xml:space="preserve">2022-09-06</t>
        </is>
      </c>
      <c r="N252" t="inlineStr">
        <is>
          <t xml:space="preserve">2027-06-30</t>
        </is>
      </c>
      <c r="O252" t="inlineStr">
        <is>
          <t xml:space="preserve">Small molecule</t>
        </is>
      </c>
      <c r="P252" s="3" t="str">
        <f>HYPERLINK("https://reporter.nih.gov/project-details/11392706","https://reporter.nih.gov/project-details/11392706")</f>
        <v>https://reporter.nih.gov/project-details/11392706</v>
      </c>
    </row>
    <row r="253">
      <c r="A253" t="inlineStr">
        <is>
          <t xml:space="preserve">2026-08-19</t>
        </is>
      </c>
      <c r="B253" t="inlineStr">
        <is>
          <t xml:space="preserve">5R01HD113720-03</t>
        </is>
      </c>
      <c r="C253" t="inlineStr">
        <is>
          <t xml:space="preserve">Risk for Severe/Profound Intellectual Disability in Down Syndrome</t>
        </is>
      </c>
      <c r="D253" t="inlineStr">
        <is>
          <t xml:space="preserve">DEBORAH J FIDLER</t>
        </is>
      </c>
      <c r="E253" t="inlineStr">
        <is>
          <t xml:space="preserve">Nicole Baumer; Joaquin M. Espinosa; DEBORAH J FIDLER</t>
        </is>
      </c>
      <c r="F253" t="inlineStr">
        <is>
          <t xml:space="preserve">COLORADO STATE UNIVERSITY</t>
        </is>
      </c>
      <c r="G253" t="inlineStr">
        <is>
          <t xml:space="preserve">FORT COLLINS</t>
        </is>
      </c>
      <c r="H253" t="inlineStr">
        <is>
          <t xml:space="preserve">CO</t>
        </is>
      </c>
      <c r="I253" t="inlineStr">
        <is>
          <t xml:space="preserve">NICHD</t>
        </is>
      </c>
      <c r="J253" t="inlineStr">
        <is>
          <t xml:space="preserve">Eunice Kennedy Shriver National Institute of Child Health and Human Development</t>
        </is>
      </c>
      <c r="K253" t="inlineStr">
        <is>
          <t xml:space="preserve">2026</t>
        </is>
      </c>
      <c r="L253" t="inlineStr">
        <is>
          <t xml:space="preserve">677780</t>
        </is>
      </c>
      <c r="M253" t="inlineStr">
        <is>
          <t xml:space="preserve">2024-09-04</t>
        </is>
      </c>
      <c r="N253" t="inlineStr">
        <is>
          <t xml:space="preserve">2029-08-31</t>
        </is>
      </c>
      <c r="O253" t="inlineStr">
        <is>
          <t xml:space="preserve">Peptide, Behavioral</t>
        </is>
      </c>
      <c r="P253" s="3" t="str">
        <f>HYPERLINK("https://reporter.nih.gov/project-details/11396397","https://reporter.nih.gov/project-details/11396397")</f>
        <v>https://reporter.nih.gov/project-details/11396397</v>
      </c>
    </row>
    <row r="254">
      <c r="A254" t="inlineStr">
        <is>
          <t xml:space="preserve">2026-08-18</t>
        </is>
      </c>
      <c r="B254" t="inlineStr">
        <is>
          <t xml:space="preserve">5R01EY034605-04</t>
        </is>
      </c>
      <c r="C254" t="inlineStr">
        <is>
          <t xml:space="preserve">Discovering brain state dependent dynamics in large scale perceptual ensembles.</t>
        </is>
      </c>
      <c r="D254" t="inlineStr">
        <is>
          <t xml:space="preserve">Monika P. Jadi</t>
        </is>
      </c>
      <c r="E254" t="inlineStr">
        <is>
          <t xml:space="preserve">Monika P. Jadi</t>
        </is>
      </c>
      <c r="F254" t="inlineStr">
        <is>
          <t xml:space="preserve">YALE UNIVERSITY</t>
        </is>
      </c>
      <c r="G254" t="inlineStr">
        <is>
          <t xml:space="preserve">NEW HAVEN</t>
        </is>
      </c>
      <c r="H254" t="inlineStr">
        <is>
          <t xml:space="preserve">CT</t>
        </is>
      </c>
      <c r="I254" t="inlineStr">
        <is>
          <t xml:space="preserve">NEI</t>
        </is>
      </c>
      <c r="J254" t="inlineStr">
        <is>
          <t xml:space="preserve">National Eye Institute</t>
        </is>
      </c>
      <c r="K254" t="inlineStr">
        <is>
          <t xml:space="preserve">2026</t>
        </is>
      </c>
      <c r="L254" t="inlineStr">
        <is>
          <t xml:space="preserve">477619</t>
        </is>
      </c>
      <c r="M254" t="inlineStr">
        <is>
          <t xml:space="preserve">2023-09-30</t>
        </is>
      </c>
      <c r="N254" t="inlineStr">
        <is>
          <t xml:space="preserve">2027-07-31</t>
        </is>
      </c>
      <c r="O254" t="inlineStr">
        <is>
          <t xml:space="preserve"/>
        </is>
      </c>
      <c r="P254" s="3" t="str">
        <f>HYPERLINK("https://reporter.nih.gov/project-details/11384829","https://reporter.nih.gov/project-details/11384829")</f>
        <v>https://reporter.nih.gov/project-details/11384829</v>
      </c>
    </row>
    <row r="255">
      <c r="A255" t="inlineStr">
        <is>
          <t xml:space="preserve">2026-08-18</t>
        </is>
      </c>
      <c r="B255" t="inlineStr">
        <is>
          <t xml:space="preserve">1R01HG014465-01A1</t>
        </is>
      </c>
      <c r="C255" t="inlineStr">
        <is>
          <t xml:space="preserve">Expanding the genomics toolkit for variant interpretation in the mitochondrial genome</t>
        </is>
      </c>
      <c r="D255" t="inlineStr">
        <is>
          <t xml:space="preserve">Nicole Janet Lake</t>
        </is>
      </c>
      <c r="E255" t="inlineStr">
        <is>
          <t xml:space="preserve">Nicole Janet Lake</t>
        </is>
      </c>
      <c r="F255" t="inlineStr">
        <is>
          <t xml:space="preserve">YALE UNIVERSITY</t>
        </is>
      </c>
      <c r="G255" t="inlineStr">
        <is>
          <t xml:space="preserve">NEW HAVEN</t>
        </is>
      </c>
      <c r="H255" t="inlineStr">
        <is>
          <t xml:space="preserve">CT</t>
        </is>
      </c>
      <c r="I255" t="inlineStr">
        <is>
          <t xml:space="preserve">NHGRI</t>
        </is>
      </c>
      <c r="J255" t="inlineStr">
        <is>
          <t xml:space="preserve">National Human Genome Research Institute</t>
        </is>
      </c>
      <c r="K255" t="inlineStr">
        <is>
          <t xml:space="preserve">2026</t>
        </is>
      </c>
      <c r="L255" t="inlineStr">
        <is>
          <t xml:space="preserve">3079678</t>
        </is>
      </c>
      <c r="M255" t="inlineStr">
        <is>
          <t xml:space="preserve">2026-08-15</t>
        </is>
      </c>
      <c r="N255" t="inlineStr">
        <is>
          <t xml:space="preserve">2030-07-31</t>
        </is>
      </c>
      <c r="O255" t="inlineStr">
        <is>
          <t xml:space="preserve"/>
        </is>
      </c>
      <c r="P255" s="3" t="str">
        <f>HYPERLINK("https://reporter.nih.gov/project-details/11366504","https://reporter.nih.gov/project-details/11366504")</f>
        <v>https://reporter.nih.gov/project-details/11366504</v>
      </c>
    </row>
    <row r="256">
      <c r="A256" t="inlineStr">
        <is>
          <t xml:space="preserve">2026-08-18</t>
        </is>
      </c>
      <c r="B256" t="inlineStr">
        <is>
          <t xml:space="preserve">1R13NS151300-01</t>
        </is>
      </c>
      <c r="C256" t="inlineStr">
        <is>
          <t xml:space="preserve">Neurodevelopmental Disorders: Mechanisms and Therapeutics</t>
        </is>
      </c>
      <c r="D256" t="inlineStr">
        <is>
          <t xml:space="preserve">TERRY L. SHEPPARD</t>
        </is>
      </c>
      <c r="E256" t="inlineStr">
        <is>
          <t xml:space="preserve">TERRY L. SHEPPARD</t>
        </is>
      </c>
      <c r="F256" t="inlineStr">
        <is>
          <t xml:space="preserve">KEYSTONE SYMPOSIA</t>
        </is>
      </c>
      <c r="G256" t="inlineStr">
        <is>
          <t xml:space="preserve">SILVERTHORNE</t>
        </is>
      </c>
      <c r="H256" t="inlineStr">
        <is>
          <t xml:space="preserve">CO</t>
        </is>
      </c>
      <c r="I256" t="inlineStr">
        <is>
          <t xml:space="preserve">NINDS</t>
        </is>
      </c>
      <c r="J256" t="inlineStr">
        <is>
          <t xml:space="preserve">National Institute of Neurological Disorders and Stroke</t>
        </is>
      </c>
      <c r="K256" t="inlineStr">
        <is>
          <t xml:space="preserve">2026</t>
        </is>
      </c>
      <c r="L256" t="inlineStr">
        <is>
          <t xml:space="preserve">10000</t>
        </is>
      </c>
      <c r="M256" t="inlineStr">
        <is>
          <t xml:space="preserve">2026-08-19</t>
        </is>
      </c>
      <c r="N256" t="inlineStr">
        <is>
          <t xml:space="preserve">2027-07-31</t>
        </is>
      </c>
      <c r="O256" t="inlineStr">
        <is>
          <t xml:space="preserve">Gene therapy, Nucleic acid therapeutics, Small molecule</t>
        </is>
      </c>
      <c r="P256" s="3" t="str">
        <f>HYPERLINK("https://reporter.nih.gov/project-details/11465289","https://reporter.nih.gov/project-details/11465289")</f>
        <v>https://reporter.nih.gov/project-details/11465289</v>
      </c>
    </row>
    <row r="257">
      <c r="A257" t="inlineStr">
        <is>
          <t xml:space="preserve">2026-08-18</t>
        </is>
      </c>
      <c r="B257" t="inlineStr">
        <is>
          <t xml:space="preserve">1R21MH144624-01</t>
        </is>
      </c>
      <c r="C257" t="inlineStr">
        <is>
          <t xml:space="preserve">Synaptic protein translation as an interface between circadian rhythms and the need for sleep</t>
        </is>
      </c>
      <c r="D257" t="inlineStr">
        <is>
          <t xml:space="preserve">Graham Hugh Diering</t>
        </is>
      </c>
      <c r="E257" t="inlineStr">
        <is>
          <t xml:space="preserve">Graham Hugh Diering</t>
        </is>
      </c>
      <c r="F257" t="inlineStr">
        <is>
          <t xml:space="preserve">UNIV OF NORTH CAROLINA CHAPEL HILL</t>
        </is>
      </c>
      <c r="G257" t="inlineStr">
        <is>
          <t xml:space="preserve">CHAPEL HILL</t>
        </is>
      </c>
      <c r="H257" t="inlineStr">
        <is>
          <t xml:space="preserve">NC</t>
        </is>
      </c>
      <c r="I257" t="inlineStr">
        <is>
          <t xml:space="preserve">NIMH</t>
        </is>
      </c>
      <c r="J257" t="inlineStr">
        <is>
          <t xml:space="preserve">National Institute of Mental Health</t>
        </is>
      </c>
      <c r="K257" t="inlineStr">
        <is>
          <t xml:space="preserve">2026</t>
        </is>
      </c>
      <c r="L257" t="inlineStr">
        <is>
          <t xml:space="preserve">427625</t>
        </is>
      </c>
      <c r="M257" t="inlineStr">
        <is>
          <t xml:space="preserve">2026-08-14</t>
        </is>
      </c>
      <c r="N257" t="inlineStr">
        <is>
          <t xml:space="preserve">2028-08-13</t>
        </is>
      </c>
      <c r="O257" t="inlineStr">
        <is>
          <t xml:space="preserve">Peptide</t>
        </is>
      </c>
      <c r="P257" s="3" t="str">
        <f>HYPERLINK("https://reporter.nih.gov/project-details/11354132","https://reporter.nih.gov/project-details/11354132")</f>
        <v>https://reporter.nih.gov/project-details/11354132</v>
      </c>
    </row>
    <row r="258">
      <c r="A258" t="inlineStr">
        <is>
          <t xml:space="preserve">2026-08-18</t>
        </is>
      </c>
      <c r="B258" t="inlineStr">
        <is>
          <t xml:space="preserve">5R01NS107428-08</t>
        </is>
      </c>
      <c r="C258" t="inlineStr">
        <is>
          <t xml:space="preserve">Genetics and Functional Studies of Autosomal Recessive Neurological Disorders</t>
        </is>
      </c>
      <c r="D258" t="inlineStr">
        <is>
          <t xml:space="preserve">Saima Riazuddin</t>
        </is>
      </c>
      <c r="E258" t="inlineStr">
        <is>
          <t xml:space="preserve">Saima Riazuddin</t>
        </is>
      </c>
      <c r="F258" t="inlineStr">
        <is>
          <t xml:space="preserve">UNIVERSITY OF MARYLAND BALTIMORE</t>
        </is>
      </c>
      <c r="G258" t="inlineStr">
        <is>
          <t xml:space="preserve">BALTIMORE</t>
        </is>
      </c>
      <c r="H258" t="inlineStr">
        <is>
          <t xml:space="preserve">MD</t>
        </is>
      </c>
      <c r="I258" t="inlineStr">
        <is>
          <t xml:space="preserve">NINDS</t>
        </is>
      </c>
      <c r="J258" t="inlineStr">
        <is>
          <t xml:space="preserve">National Institute of Neurological Disorders and Stroke</t>
        </is>
      </c>
      <c r="K258" t="inlineStr">
        <is>
          <t xml:space="preserve">2026</t>
        </is>
      </c>
      <c r="L258" t="inlineStr">
        <is>
          <t xml:space="preserve">535516</t>
        </is>
      </c>
      <c r="M258" t="inlineStr">
        <is>
          <t xml:space="preserve">2018-07-01</t>
        </is>
      </c>
      <c r="N258" t="inlineStr">
        <is>
          <t xml:space="preserve">2029-06-30</t>
        </is>
      </c>
      <c r="O258" t="inlineStr">
        <is>
          <t xml:space="preserve">Gene therapy, Small molecule</t>
        </is>
      </c>
      <c r="P258" s="3" t="str">
        <f>HYPERLINK("https://reporter.nih.gov/project-details/11412673","https://reporter.nih.gov/project-details/11412673")</f>
        <v>https://reporter.nih.gov/project-details/11412673</v>
      </c>
    </row>
    <row r="259">
      <c r="A259" t="inlineStr">
        <is>
          <t xml:space="preserve">2026-08-18</t>
        </is>
      </c>
      <c r="B259" t="inlineStr">
        <is>
          <t xml:space="preserve">5F31DC022183-03</t>
        </is>
      </c>
      <c r="C259" t="inlineStr">
        <is>
          <t xml:space="preserve">The genomic and synaptic basis of language disorder and learned sound association</t>
        </is>
      </c>
      <c r="D259" t="inlineStr">
        <is>
          <t xml:space="preserve">Shashaank Narayanan</t>
        </is>
      </c>
      <c r="E259" t="inlineStr">
        <is>
          <t xml:space="preserve">Shashaank Narayanan</t>
        </is>
      </c>
      <c r="F259" t="inlineStr">
        <is>
          <t xml:space="preserve">COLUMBIA UNIV NEW YORK MORNINGSIDE</t>
        </is>
      </c>
      <c r="G259" t="inlineStr">
        <is>
          <t xml:space="preserve">NEW YORK</t>
        </is>
      </c>
      <c r="H259" t="inlineStr">
        <is>
          <t xml:space="preserve">NY</t>
        </is>
      </c>
      <c r="I259" t="inlineStr">
        <is>
          <t xml:space="preserve">NIDCD</t>
        </is>
      </c>
      <c r="J259" t="inlineStr">
        <is>
          <t xml:space="preserve">National Institute on Deafness and Other Communication Disorders</t>
        </is>
      </c>
      <c r="K259" t="inlineStr">
        <is>
          <t xml:space="preserve">2026</t>
        </is>
      </c>
      <c r="L259" t="inlineStr">
        <is>
          <t xml:space="preserve">50114</t>
        </is>
      </c>
      <c r="M259" t="inlineStr">
        <is>
          <t xml:space="preserve">2024-09-01</t>
        </is>
      </c>
      <c r="N259" t="inlineStr">
        <is>
          <t xml:space="preserve">2027-08-31</t>
        </is>
      </c>
      <c r="O259" t="inlineStr">
        <is>
          <t xml:space="preserve"/>
        </is>
      </c>
      <c r="P259" s="3" t="str">
        <f>HYPERLINK("https://reporter.nih.gov/project-details/11386697","https://reporter.nih.gov/project-details/11386697")</f>
        <v>https://reporter.nih.gov/project-details/11386697</v>
      </c>
    </row>
    <row r="260">
      <c r="A260" t="inlineStr">
        <is>
          <t xml:space="preserve">2026-08-18</t>
        </is>
      </c>
      <c r="B260" t="inlineStr">
        <is>
          <t xml:space="preserve">5F31NS137737-03</t>
        </is>
      </c>
      <c r="C260" t="inlineStr">
        <is>
          <t xml:space="preserve">ASXL3 Links Chromatin Biology to Neurodevelopment Disorders</t>
        </is>
      </c>
      <c r="D260" t="inlineStr">
        <is>
          <t xml:space="preserve">Emily Rose Peirent</t>
        </is>
      </c>
      <c r="E260" t="inlineStr">
        <is>
          <t xml:space="preserve">Emily Rose Peirent</t>
        </is>
      </c>
      <c r="F260" t="inlineStr">
        <is>
          <t xml:space="preserve">UNIVERSITY OF MICHIGAN AT ANN ARBOR</t>
        </is>
      </c>
      <c r="G260" t="inlineStr">
        <is>
          <t xml:space="preserve">ANN ARBOR</t>
        </is>
      </c>
      <c r="H260" t="inlineStr">
        <is>
          <t xml:space="preserve">MI</t>
        </is>
      </c>
      <c r="I260" t="inlineStr">
        <is>
          <t xml:space="preserve">NINDS</t>
        </is>
      </c>
      <c r="J260" t="inlineStr">
        <is>
          <t xml:space="preserve">National Institute of Neurological Disorders and Stroke</t>
        </is>
      </c>
      <c r="K260" t="inlineStr">
        <is>
          <t xml:space="preserve">2026</t>
        </is>
      </c>
      <c r="L260" t="inlineStr">
        <is>
          <t xml:space="preserve">44420</t>
        </is>
      </c>
      <c r="M260" t="inlineStr">
        <is>
          <t xml:space="preserve">2024-09-01</t>
        </is>
      </c>
      <c r="N260" t="inlineStr">
        <is>
          <t xml:space="preserve">2027-08-31</t>
        </is>
      </c>
      <c r="O260" t="inlineStr">
        <is>
          <t xml:space="preserve">Gene therapy, Device / stimulation</t>
        </is>
      </c>
      <c r="P260" s="3" t="str">
        <f>HYPERLINK("https://reporter.nih.gov/project-details/11384872","https://reporter.nih.gov/project-details/11384872")</f>
        <v>https://reporter.nih.gov/project-details/11384872</v>
      </c>
    </row>
    <row r="261">
      <c r="A261" t="inlineStr">
        <is>
          <t xml:space="preserve">2026-08-18</t>
        </is>
      </c>
      <c r="B261" t="inlineStr">
        <is>
          <t xml:space="preserve">5R01NS122911-04</t>
        </is>
      </c>
      <c r="C261" t="inlineStr">
        <is>
          <t xml:space="preserve">Mechanistic analysis of TDP-43-mediated RNA localization in neurons and its misregulation in ALS</t>
        </is>
      </c>
      <c r="D261" t="inlineStr">
        <is>
          <t xml:space="preserve">Jefferson Matthew Taliaferro</t>
        </is>
      </c>
      <c r="E261" t="inlineStr">
        <is>
          <t xml:space="preserve">Holger A. Russ; Jefferson Matthew Taliaferro</t>
        </is>
      </c>
      <c r="F261" t="inlineStr">
        <is>
          <t xml:space="preserve">UNIVERSITY OF COLORADO DENVER</t>
        </is>
      </c>
      <c r="G261" t="inlineStr">
        <is>
          <t xml:space="preserve">Aurora</t>
        </is>
      </c>
      <c r="H261" t="inlineStr">
        <is>
          <t xml:space="preserve">CO</t>
        </is>
      </c>
      <c r="I261" t="inlineStr">
        <is>
          <t xml:space="preserve">NINDS</t>
        </is>
      </c>
      <c r="J261" t="inlineStr">
        <is>
          <t xml:space="preserve">National Institute of Neurological Disorders and Stroke</t>
        </is>
      </c>
      <c r="K261" t="inlineStr">
        <is>
          <t xml:space="preserve">2026</t>
        </is>
      </c>
      <c r="L261" t="inlineStr">
        <is>
          <t xml:space="preserve">579252</t>
        </is>
      </c>
      <c r="M261" t="inlineStr">
        <is>
          <t xml:space="preserve">2023-09-19</t>
        </is>
      </c>
      <c r="N261" t="inlineStr">
        <is>
          <t xml:space="preserve">2028-08-31</t>
        </is>
      </c>
      <c r="O261" t="inlineStr">
        <is>
          <t xml:space="preserve"/>
        </is>
      </c>
      <c r="P261" s="3" t="str">
        <f>HYPERLINK("https://reporter.nih.gov/project-details/11389328","https://reporter.nih.gov/project-details/11389328")</f>
        <v>https://reporter.nih.gov/project-details/11389328</v>
      </c>
    </row>
    <row r="262">
      <c r="A262" t="inlineStr">
        <is>
          <t xml:space="preserve">2026-08-18</t>
        </is>
      </c>
      <c r="B262" t="inlineStr">
        <is>
          <t xml:space="preserve">1R01NS146497-01A1</t>
        </is>
      </c>
      <c r="C262" t="inlineStr">
        <is>
          <t xml:space="preserve">Synaptic basis of temporal learning in the cerebellum</t>
        </is>
      </c>
      <c r="D262" t="inlineStr">
        <is>
          <t xml:space="preserve">DAVID A DIGREGORIO</t>
        </is>
      </c>
      <c r="E262" t="inlineStr">
        <is>
          <t xml:space="preserve">DAVID A DIGREGORIO; Adam Hantman</t>
        </is>
      </c>
      <c r="F262" t="inlineStr">
        <is>
          <t xml:space="preserve">UNIVERSITY OF COLORADO DENVER</t>
        </is>
      </c>
      <c r="G262" t="inlineStr">
        <is>
          <t xml:space="preserve">Aurora</t>
        </is>
      </c>
      <c r="H262" t="inlineStr">
        <is>
          <t xml:space="preserve">CO</t>
        </is>
      </c>
      <c r="I262" t="inlineStr">
        <is>
          <t xml:space="preserve">NINDS</t>
        </is>
      </c>
      <c r="J262" t="inlineStr">
        <is>
          <t xml:space="preserve">National Institute of Neurological Disorders and Stroke</t>
        </is>
      </c>
      <c r="K262" t="inlineStr">
        <is>
          <t xml:space="preserve">2026</t>
        </is>
      </c>
      <c r="L262" t="inlineStr">
        <is>
          <t xml:space="preserve">622687</t>
        </is>
      </c>
      <c r="M262" t="inlineStr">
        <is>
          <t xml:space="preserve">2026-08-19</t>
        </is>
      </c>
      <c r="N262" t="inlineStr">
        <is>
          <t xml:space="preserve">2031-05-31</t>
        </is>
      </c>
      <c r="O262" t="inlineStr">
        <is>
          <t xml:space="preserve"/>
        </is>
      </c>
      <c r="P262" s="3" t="str">
        <f>HYPERLINK("https://reporter.nih.gov/project-details/11450983","https://reporter.nih.gov/project-details/11450983")</f>
        <v>https://reporter.nih.gov/project-details/11450983</v>
      </c>
    </row>
    <row r="263">
      <c r="A263" t="inlineStr">
        <is>
          <t xml:space="preserve">2026-08-18</t>
        </is>
      </c>
      <c r="B263" t="inlineStr">
        <is>
          <t xml:space="preserve">3P50HD103526-05S2</t>
        </is>
      </c>
      <c r="C263" t="inlineStr">
        <is>
          <t xml:space="preserve">MIND Institute Intellectual and Developmental Disabilities Research Center</t>
        </is>
      </c>
      <c r="D263" t="inlineStr">
        <is>
          <t xml:space="preserve">JUDY A. VAN DE WATER</t>
        </is>
      </c>
      <c r="E263" t="inlineStr">
        <is>
          <t xml:space="preserve">LEONARD J. ABBEDUTO; Melissa Dawn Bauman; JUDY A. VAN DE WATER</t>
        </is>
      </c>
      <c r="F263" t="inlineStr">
        <is>
          <t xml:space="preserve">UNIVERSITY OF CALIFORNIA AT DAVIS</t>
        </is>
      </c>
      <c r="G263" t="inlineStr">
        <is>
          <t xml:space="preserve">DAVIS</t>
        </is>
      </c>
      <c r="H263" t="inlineStr">
        <is>
          <t xml:space="preserve">CA</t>
        </is>
      </c>
      <c r="I263" t="inlineStr">
        <is>
          <t xml:space="preserve">NICHD</t>
        </is>
      </c>
      <c r="J263" t="inlineStr">
        <is>
          <t xml:space="preserve">Eunice Kennedy Shriver National Institute of Child Health and Human Development</t>
        </is>
      </c>
      <c r="K263" t="inlineStr">
        <is>
          <t xml:space="preserve">2026</t>
        </is>
      </c>
      <c r="L263" t="inlineStr">
        <is>
          <t xml:space="preserve">1143953</t>
        </is>
      </c>
      <c r="M263" t="inlineStr">
        <is>
          <t xml:space="preserve">2026-06-01</t>
        </is>
      </c>
      <c r="N263" t="inlineStr">
        <is>
          <t xml:space="preserve">2027-05-31</t>
        </is>
      </c>
      <c r="O263" t="inlineStr">
        <is>
          <t xml:space="preserve">Antibody, Small molecule</t>
        </is>
      </c>
      <c r="P263" s="3" t="str">
        <f>HYPERLINK("https://reporter.nih.gov/project-details/11520657","https://reporter.nih.gov/project-details/11520657")</f>
        <v>https://reporter.nih.gov/project-details/11520657</v>
      </c>
    </row>
    <row r="264">
      <c r="A264" t="inlineStr">
        <is>
          <t xml:space="preserve">2026-08-18</t>
        </is>
      </c>
      <c r="B264" t="inlineStr">
        <is>
          <t xml:space="preserve">5R01DC021051-04</t>
        </is>
      </c>
      <c r="C264" t="inlineStr">
        <is>
          <t xml:space="preserve">Multimodal dMRI, MRS and MEG studies of language impairment in low-verbal ASD</t>
        </is>
      </c>
      <c r="D264" t="inlineStr">
        <is>
          <t xml:space="preserve">Timothy P Roberts</t>
        </is>
      </c>
      <c r="E264" t="inlineStr">
        <is>
          <t xml:space="preserve">Timothy P Roberts</t>
        </is>
      </c>
      <c r="F264" t="inlineStr">
        <is>
          <t xml:space="preserve">CHILDREN'S HOSP OF PHILADELPHIA</t>
        </is>
      </c>
      <c r="G264" t="inlineStr">
        <is>
          <t xml:space="preserve">PHILADELPHIA</t>
        </is>
      </c>
      <c r="H264" t="inlineStr">
        <is>
          <t xml:space="preserve">PA</t>
        </is>
      </c>
      <c r="I264" t="inlineStr">
        <is>
          <t xml:space="preserve">NIDCD</t>
        </is>
      </c>
      <c r="J264" t="inlineStr">
        <is>
          <t xml:space="preserve">National Institute on Deafness and Other Communication Disorders</t>
        </is>
      </c>
      <c r="K264" t="inlineStr">
        <is>
          <t xml:space="preserve">2026</t>
        </is>
      </c>
      <c r="L264" t="inlineStr">
        <is>
          <t xml:space="preserve">682455</t>
        </is>
      </c>
      <c r="M264" t="inlineStr">
        <is>
          <t xml:space="preserve">2023-09-01</t>
        </is>
      </c>
      <c r="N264" t="inlineStr">
        <is>
          <t xml:space="preserve">2028-06-30</t>
        </is>
      </c>
      <c r="O264" t="inlineStr">
        <is>
          <t xml:space="preserve">Behavioral</t>
        </is>
      </c>
      <c r="P264" s="3" t="str">
        <f>HYPERLINK("https://reporter.nih.gov/project-details/11353813","https://reporter.nih.gov/project-details/11353813")</f>
        <v>https://reporter.nih.gov/project-details/11353813</v>
      </c>
    </row>
    <row r="265">
      <c r="A265" t="inlineStr">
        <is>
          <t xml:space="preserve">2026-08-18</t>
        </is>
      </c>
      <c r="B265" t="inlineStr">
        <is>
          <t xml:space="preserve">1R21AG091332-01A1</t>
        </is>
      </c>
      <c r="C265" t="inlineStr">
        <is>
          <t xml:space="preserve">Generative AI and Counterfactual Image Generation for Interpretable Alzheimer’s Disease Detection</t>
        </is>
      </c>
      <c r="D265" t="inlineStr">
        <is>
          <t xml:space="preserve">PAUL M THOMPSON</t>
        </is>
      </c>
      <c r="E265" t="inlineStr">
        <is>
          <t xml:space="preserve">Jose Luis Ambite; PAUL M THOMPSON; Greg Ver Steeg</t>
        </is>
      </c>
      <c r="F265" t="inlineStr">
        <is>
          <t xml:space="preserve">UNIVERSITY OF SOUTHERN CALIFORNIA</t>
        </is>
      </c>
      <c r="G265" t="inlineStr">
        <is>
          <t xml:space="preserve">Los Angeles</t>
        </is>
      </c>
      <c r="H265" t="inlineStr">
        <is>
          <t xml:space="preserve">CA</t>
        </is>
      </c>
      <c r="I265" t="inlineStr">
        <is>
          <t xml:space="preserve">NIA</t>
        </is>
      </c>
      <c r="J265" t="inlineStr">
        <is>
          <t xml:space="preserve">National Institute on Aging</t>
        </is>
      </c>
      <c r="K265" t="inlineStr">
        <is>
          <t xml:space="preserve">2026</t>
        </is>
      </c>
      <c r="L265" t="inlineStr">
        <is>
          <t xml:space="preserve">359735</t>
        </is>
      </c>
      <c r="M265" t="inlineStr">
        <is>
          <t xml:space="preserve">2026-09-01</t>
        </is>
      </c>
      <c r="N265" t="inlineStr">
        <is>
          <t xml:space="preserve">2028-08-31</t>
        </is>
      </c>
      <c r="O265" t="inlineStr">
        <is>
          <t xml:space="preserve">Small molecule</t>
        </is>
      </c>
      <c r="P265" s="3" t="str">
        <f>HYPERLINK("https://reporter.nih.gov/project-details/11231067","https://reporter.nih.gov/project-details/11231067")</f>
        <v>https://reporter.nih.gov/project-details/11231067</v>
      </c>
    </row>
    <row r="266">
      <c r="A266" t="inlineStr">
        <is>
          <t xml:space="preserve">2026-08-18</t>
        </is>
      </c>
      <c r="B266" t="inlineStr">
        <is>
          <t xml:space="preserve">5K23HD119249-02</t>
        </is>
      </c>
      <c r="C266" t="inlineStr">
        <is>
          <t xml:space="preserve">Probing the role of sensory regulation in sleep health and emotion dysregulation for autistic youth</t>
        </is>
      </c>
      <c r="D266" t="inlineStr">
        <is>
          <t xml:space="preserve">Amy Gore Hartman</t>
        </is>
      </c>
      <c r="E266" t="inlineStr">
        <is>
          <t xml:space="preserve">Amy Gore Hartman</t>
        </is>
      </c>
      <c r="F266" t="inlineStr">
        <is>
          <t xml:space="preserve">UNIVERSITY OF PITTSBURGH AT PITTSBURGH</t>
        </is>
      </c>
      <c r="G266" t="inlineStr">
        <is>
          <t xml:space="preserve">PITTSBURGH</t>
        </is>
      </c>
      <c r="H266" t="inlineStr">
        <is>
          <t xml:space="preserve">PA</t>
        </is>
      </c>
      <c r="I266" t="inlineStr">
        <is>
          <t xml:space="preserve">NICHD</t>
        </is>
      </c>
      <c r="J266" t="inlineStr">
        <is>
          <t xml:space="preserve">Eunice Kennedy Shriver National Institute of Child Health and Human Development</t>
        </is>
      </c>
      <c r="K266" t="inlineStr">
        <is>
          <t xml:space="preserve">2026</t>
        </is>
      </c>
      <c r="L266" t="inlineStr">
        <is>
          <t xml:space="preserve">128052</t>
        </is>
      </c>
      <c r="M266" t="inlineStr">
        <is>
          <t xml:space="preserve">2025-08-15</t>
        </is>
      </c>
      <c r="N266" t="inlineStr">
        <is>
          <t xml:space="preserve">2030-07-31</t>
        </is>
      </c>
      <c r="O266" t="inlineStr">
        <is>
          <t xml:space="preserve">Small molecule, Behavioral</t>
        </is>
      </c>
      <c r="P266" s="3" t="str">
        <f>HYPERLINK("https://reporter.nih.gov/project-details/11392509","https://reporter.nih.gov/project-details/11392509")</f>
        <v>https://reporter.nih.gov/project-details/11392509</v>
      </c>
    </row>
    <row r="267">
      <c r="A267" t="inlineStr">
        <is>
          <t xml:space="preserve">2026-08-18</t>
        </is>
      </c>
      <c r="B267" t="inlineStr">
        <is>
          <t xml:space="preserve">5R01DC022534-03</t>
        </is>
      </c>
      <c r="C267" t="inlineStr">
        <is>
          <t xml:space="preserve">CRCNS: Building and testing computational models of the neural basis of natural communication</t>
        </is>
      </c>
      <c r="D267" t="inlineStr">
        <is>
          <t xml:space="preserve">Uri Hasson</t>
        </is>
      </c>
      <c r="E267" t="inlineStr">
        <is>
          <t xml:space="preserve">Uri Hasson</t>
        </is>
      </c>
      <c r="F267" t="inlineStr">
        <is>
          <t xml:space="preserve">PRINCETON UNIVERSITY</t>
        </is>
      </c>
      <c r="G267" t="inlineStr">
        <is>
          <t xml:space="preserve">Princeton</t>
        </is>
      </c>
      <c r="H267" t="inlineStr">
        <is>
          <t xml:space="preserve">NJ</t>
        </is>
      </c>
      <c r="I267" t="inlineStr">
        <is>
          <t xml:space="preserve">NIDCD</t>
        </is>
      </c>
      <c r="J267" t="inlineStr">
        <is>
          <t xml:space="preserve">National Institute on Deafness and Other Communication Disorders</t>
        </is>
      </c>
      <c r="K267" t="inlineStr">
        <is>
          <t xml:space="preserve">2026</t>
        </is>
      </c>
      <c r="L267" t="inlineStr">
        <is>
          <t xml:space="preserve">363683</t>
        </is>
      </c>
      <c r="M267" t="inlineStr">
        <is>
          <t xml:space="preserve">2024-09-01</t>
        </is>
      </c>
      <c r="N267" t="inlineStr">
        <is>
          <t xml:space="preserve">2029-08-31</t>
        </is>
      </c>
      <c r="O267" t="inlineStr">
        <is>
          <t xml:space="preserve"/>
        </is>
      </c>
      <c r="P267" s="3" t="str">
        <f>HYPERLINK("https://reporter.nih.gov/project-details/11395552","https://reporter.nih.gov/project-details/11395552")</f>
        <v>https://reporter.nih.gov/project-details/11395552</v>
      </c>
    </row>
    <row r="268">
      <c r="A268" t="inlineStr">
        <is>
          <t xml:space="preserve">2026-08-18</t>
        </is>
      </c>
      <c r="B268" t="inlineStr">
        <is>
          <t xml:space="preserve">5U01NS134355-08</t>
        </is>
      </c>
      <c r="C268" t="inlineStr">
        <is>
          <t xml:space="preserve">Pacific Northwest Undiagnosed Disease Network Clinical Site</t>
        </is>
      </c>
      <c r="D268" t="inlineStr">
        <is>
          <t xml:space="preserve">Gail Pairitz Jarvik</t>
        </is>
      </c>
      <c r="E268" t="inlineStr">
        <is>
          <t xml:space="preserve">ELIZABETH ELOYCE BLUE; Katrina M Dipple; Gail Pairitz Jarvik</t>
        </is>
      </c>
      <c r="F268" t="inlineStr">
        <is>
          <t xml:space="preserve">UNIVERSITY OF WASHINGTON</t>
        </is>
      </c>
      <c r="G268" t="inlineStr">
        <is>
          <t xml:space="preserve">SEATTLE</t>
        </is>
      </c>
      <c r="H268" t="inlineStr">
        <is>
          <t xml:space="preserve">WA</t>
        </is>
      </c>
      <c r="I268" t="inlineStr">
        <is>
          <t xml:space="preserve">NINDS</t>
        </is>
      </c>
      <c r="J268" t="inlineStr">
        <is>
          <t xml:space="preserve">National Institute of Neurological Disorders and Stroke</t>
        </is>
      </c>
      <c r="K268" t="inlineStr">
        <is>
          <t xml:space="preserve">2026</t>
        </is>
      </c>
      <c r="L268" t="inlineStr">
        <is>
          <t xml:space="preserve">694557</t>
        </is>
      </c>
      <c r="M268" t="inlineStr">
        <is>
          <t xml:space="preserve">2023-09-15</t>
        </is>
      </c>
      <c r="N268" t="inlineStr">
        <is>
          <t xml:space="preserve">2028-07-31</t>
        </is>
      </c>
      <c r="O268" t="inlineStr">
        <is>
          <t xml:space="preserve"/>
        </is>
      </c>
      <c r="P268" s="3" t="str">
        <f>HYPERLINK("https://reporter.nih.gov/project-details/11386385","https://reporter.nih.gov/project-details/11386385")</f>
        <v>https://reporter.nih.gov/project-details/11386385</v>
      </c>
    </row>
    <row r="269">
      <c r="A269" t="inlineStr">
        <is>
          <t xml:space="preserve">2026-08-18</t>
        </is>
      </c>
      <c r="B269" t="inlineStr">
        <is>
          <t xml:space="preserve">1DP2DC024809-01</t>
        </is>
      </c>
      <c r="C269" t="inlineStr">
        <is>
          <t xml:space="preserve">Hearing loss as a model system to understand neural and environmental predictors of language development from infancy to school entry</t>
        </is>
      </c>
      <c r="D269" t="inlineStr">
        <is>
          <t xml:space="preserve">Margaret Emilyn Cychosz</t>
        </is>
      </c>
      <c r="E269" t="inlineStr">
        <is>
          <t xml:space="preserve">Margaret Emilyn Cychosz</t>
        </is>
      </c>
      <c r="F269" t="inlineStr">
        <is>
          <t xml:space="preserve">STANFORD UNIVERSITY</t>
        </is>
      </c>
      <c r="G269" t="inlineStr">
        <is>
          <t xml:space="preserve">STANFORD</t>
        </is>
      </c>
      <c r="H269" t="inlineStr">
        <is>
          <t xml:space="preserve">CA</t>
        </is>
      </c>
      <c r="I269" t="inlineStr">
        <is>
          <t xml:space="preserve">NIDCD</t>
        </is>
      </c>
      <c r="J269" t="inlineStr">
        <is>
          <t xml:space="preserve">National Institute on Deafness and Other Communication Disorders</t>
        </is>
      </c>
      <c r="K269" t="inlineStr">
        <is>
          <t xml:space="preserve">2026</t>
        </is>
      </c>
      <c r="L269" t="inlineStr">
        <is>
          <t xml:space="preserve">2194500</t>
        </is>
      </c>
      <c r="M269" t="inlineStr">
        <is>
          <t xml:space="preserve">2026-09-01</t>
        </is>
      </c>
      <c r="N269" t="inlineStr">
        <is>
          <t xml:space="preserve">2029-08-31</t>
        </is>
      </c>
      <c r="O269" t="inlineStr">
        <is>
          <t xml:space="preserve"/>
        </is>
      </c>
      <c r="P269" s="3" t="str">
        <f>HYPERLINK("https://reporter.nih.gov/project-details/11396664","https://reporter.nih.gov/project-details/11396664")</f>
        <v>https://reporter.nih.gov/project-details/11396664</v>
      </c>
    </row>
    <row r="270">
      <c r="A270" t="inlineStr">
        <is>
          <t xml:space="preserve">2026-08-18</t>
        </is>
      </c>
      <c r="B270" t="inlineStr">
        <is>
          <t xml:space="preserve">1R01ES038575-01</t>
        </is>
      </c>
      <c r="C270" t="inlineStr">
        <is>
          <t xml:space="preserve">Wildfires and heatwaves: Chronic effects on development of autism</t>
        </is>
      </c>
      <c r="D270" t="inlineStr">
        <is>
          <t xml:space="preserve">ANNY H XIANG</t>
        </is>
      </c>
      <c r="E270" t="inlineStr">
        <is>
          <t xml:space="preserve">ROB S MCCONNELL; Md Mostafijur Rahman; ANNY H XIANG</t>
        </is>
      </c>
      <c r="F270" t="inlineStr">
        <is>
          <t xml:space="preserve">KAISER FOUNDATION RESEARCH INSTITUTE</t>
        </is>
      </c>
      <c r="G270" t="inlineStr">
        <is>
          <t xml:space="preserve">Oakland</t>
        </is>
      </c>
      <c r="H270" t="inlineStr">
        <is>
          <t xml:space="preserve">CA</t>
        </is>
      </c>
      <c r="I270" t="inlineStr">
        <is>
          <t xml:space="preserve">NIEHS</t>
        </is>
      </c>
      <c r="J270" t="inlineStr">
        <is>
          <t xml:space="preserve">National Institute of Environmental Health Sciences</t>
        </is>
      </c>
      <c r="K270" t="inlineStr">
        <is>
          <t xml:space="preserve">2026</t>
        </is>
      </c>
      <c r="L270" t="inlineStr">
        <is>
          <t xml:space="preserve">3676852</t>
        </is>
      </c>
      <c r="M270" t="inlineStr">
        <is>
          <t xml:space="preserve">2026-08-18</t>
        </is>
      </c>
      <c r="N270" t="inlineStr">
        <is>
          <t xml:space="preserve">2030-08-17</t>
        </is>
      </c>
      <c r="O270" t="inlineStr">
        <is>
          <t xml:space="preserve"/>
        </is>
      </c>
      <c r="P270" s="3" t="str">
        <f>HYPERLINK("https://reporter.nih.gov/project-details/11343788","https://reporter.nih.gov/project-details/11343788")</f>
        <v>https://reporter.nih.gov/project-details/11343788</v>
      </c>
    </row>
    <row r="271">
      <c r="A271" t="inlineStr">
        <is>
          <t xml:space="preserve">2026-08-18</t>
        </is>
      </c>
      <c r="B271" t="inlineStr">
        <is>
          <t xml:space="preserve">5K23MH132874-03</t>
        </is>
      </c>
      <c r="C271" t="inlineStr">
        <is>
          <t xml:space="preserve">A Genetics-First Approach to Shared Risk in Neurodevelopmental Disorders</t>
        </is>
      </c>
      <c r="D271" t="inlineStr">
        <is>
          <t xml:space="preserve">Amandeep Jutla</t>
        </is>
      </c>
      <c r="E271" t="inlineStr">
        <is>
          <t xml:space="preserve">Amandeep Jutla</t>
        </is>
      </c>
      <c r="F271" t="inlineStr">
        <is>
          <t xml:space="preserve">COLUMBIA UNIVERSITY HEALTH SCIENCES</t>
        </is>
      </c>
      <c r="G271" t="inlineStr">
        <is>
          <t xml:space="preserve">NEW YORK</t>
        </is>
      </c>
      <c r="H271" t="inlineStr">
        <is>
          <t xml:space="preserve">NY</t>
        </is>
      </c>
      <c r="I271" t="inlineStr">
        <is>
          <t xml:space="preserve">NIMH</t>
        </is>
      </c>
      <c r="J271" t="inlineStr">
        <is>
          <t xml:space="preserve">National Institute of Mental Health</t>
        </is>
      </c>
      <c r="K271" t="inlineStr">
        <is>
          <t xml:space="preserve">2026</t>
        </is>
      </c>
      <c r="L271" t="inlineStr">
        <is>
          <t xml:space="preserve">194400</t>
        </is>
      </c>
      <c r="M271" t="inlineStr">
        <is>
          <t xml:space="preserve">2024-08-19</t>
        </is>
      </c>
      <c r="N271" t="inlineStr">
        <is>
          <t xml:space="preserve">2029-07-31</t>
        </is>
      </c>
      <c r="O271" t="inlineStr">
        <is>
          <t xml:space="preserve"/>
        </is>
      </c>
      <c r="P271" s="3" t="str">
        <f>HYPERLINK("https://reporter.nih.gov/project-details/11395389","https://reporter.nih.gov/project-details/11395389")</f>
        <v>https://reporter.nih.gov/project-details/11395389</v>
      </c>
    </row>
    <row r="272">
      <c r="A272" t="inlineStr">
        <is>
          <t xml:space="preserve">2026-08-18</t>
        </is>
      </c>
      <c r="B272" t="inlineStr">
        <is>
          <t xml:space="preserve">1R03DA064869-01A1</t>
        </is>
      </c>
      <c r="C272" t="inlineStr">
        <is>
          <t xml:space="preserve">Novel Statistical Methods for Analyzing fcMRI Data for Substance Use and Addiction Research</t>
        </is>
      </c>
      <c r="D272" t="inlineStr">
        <is>
          <t xml:space="preserve">WILLIAM D. SHANNON</t>
        </is>
      </c>
      <c r="E272" t="inlineStr">
        <is>
          <t xml:space="preserve">WILLIAM D. SHANNON</t>
        </is>
      </c>
      <c r="F272" t="inlineStr">
        <is>
          <t xml:space="preserve">WILLIAM D SHANNON CONSULTING, LLC</t>
        </is>
      </c>
      <c r="G272" t="inlineStr">
        <is>
          <t xml:space="preserve">St Louis</t>
        </is>
      </c>
      <c r="H272" t="inlineStr">
        <is>
          <t xml:space="preserve">MO</t>
        </is>
      </c>
      <c r="I272" t="inlineStr">
        <is>
          <t xml:space="preserve">NIDA</t>
        </is>
      </c>
      <c r="J272" t="inlineStr">
        <is>
          <t xml:space="preserve">National Institute on Drug Abuse</t>
        </is>
      </c>
      <c r="K272" t="inlineStr">
        <is>
          <t xml:space="preserve">2026</t>
        </is>
      </c>
      <c r="L272" t="inlineStr">
        <is>
          <t xml:space="preserve">220000</t>
        </is>
      </c>
      <c r="M272" t="inlineStr">
        <is>
          <t xml:space="preserve">2026-09-01</t>
        </is>
      </c>
      <c r="N272" t="inlineStr">
        <is>
          <t xml:space="preserve">2028-08-31</t>
        </is>
      </c>
      <c r="O272" t="inlineStr">
        <is>
          <t xml:space="preserve">Small molecule, Behavioral</t>
        </is>
      </c>
      <c r="P272" s="3" t="str">
        <f>HYPERLINK("https://reporter.nih.gov/project-details/11455092","https://reporter.nih.gov/project-details/11455092")</f>
        <v>https://reporter.nih.gov/project-details/11455092</v>
      </c>
    </row>
    <row r="273">
      <c r="A273" t="inlineStr">
        <is>
          <t xml:space="preserve">2026-08-17</t>
        </is>
      </c>
      <c r="B273" t="inlineStr">
        <is>
          <t xml:space="preserve">5F31NS145565-02</t>
        </is>
      </c>
      <c r="C273" t="inlineStr">
        <is>
          <t xml:space="preserve">Deciphering SPTAN1-associated disease mechanisms and potential therapy in patient-derived cell lines</t>
        </is>
      </c>
      <c r="D273" t="inlineStr">
        <is>
          <t xml:space="preserve">Christiana Wang</t>
        </is>
      </c>
      <c r="E273" t="inlineStr">
        <is>
          <t xml:space="preserve">Christiana Wang</t>
        </is>
      </c>
      <c r="F273" t="inlineStr">
        <is>
          <t xml:space="preserve">BAYLOR COLLEGE OF MEDICINE</t>
        </is>
      </c>
      <c r="G273" t="inlineStr">
        <is>
          <t xml:space="preserve">HOUSTON</t>
        </is>
      </c>
      <c r="H273" t="inlineStr">
        <is>
          <t xml:space="preserve">TX</t>
        </is>
      </c>
      <c r="I273" t="inlineStr">
        <is>
          <t xml:space="preserve">NINDS</t>
        </is>
      </c>
      <c r="J273" t="inlineStr">
        <is>
          <t xml:space="preserve">National Institute of Neurological Disorders and Stroke</t>
        </is>
      </c>
      <c r="K273" t="inlineStr">
        <is>
          <t xml:space="preserve">2026</t>
        </is>
      </c>
      <c r="L273" t="inlineStr">
        <is>
          <t xml:space="preserve">50114</t>
        </is>
      </c>
      <c r="M273" t="inlineStr">
        <is>
          <t xml:space="preserve">2025-08-01</t>
        </is>
      </c>
      <c r="N273" t="inlineStr">
        <is>
          <t xml:space="preserve">2028-08-31</t>
        </is>
      </c>
      <c r="O273" t="inlineStr">
        <is>
          <t xml:space="preserve">Gene therapy, Nucleic acid therapeutics, Small molecule</t>
        </is>
      </c>
      <c r="P273" s="3" t="str">
        <f>HYPERLINK("https://reporter.nih.gov/project-details/11386320","https://reporter.nih.gov/project-details/11386320")</f>
        <v>https://reporter.nih.gov/project-details/11386320</v>
      </c>
    </row>
    <row r="274">
      <c r="A274" t="inlineStr">
        <is>
          <t xml:space="preserve">2026-08-17</t>
        </is>
      </c>
      <c r="B274" t="inlineStr">
        <is>
          <t xml:space="preserve">1R01HD118688-01A1</t>
        </is>
      </c>
      <c r="C274" t="inlineStr">
        <is>
          <t xml:space="preserve">Intergenerational programming of neurodevelopmental disorders</t>
        </is>
      </c>
      <c r="D274" t="inlineStr">
        <is>
          <t xml:space="preserve">EDUARDO VILLAMOR</t>
        </is>
      </c>
      <c r="E274" t="inlineStr">
        <is>
          <t xml:space="preserve">EDUARDO VILLAMOR</t>
        </is>
      </c>
      <c r="F274" t="inlineStr">
        <is>
          <t xml:space="preserve">UNIVERSITY OF MICHIGAN AT ANN ARBOR</t>
        </is>
      </c>
      <c r="G274" t="inlineStr">
        <is>
          <t xml:space="preserve">ANN ARBOR</t>
        </is>
      </c>
      <c r="H274" t="inlineStr">
        <is>
          <t xml:space="preserve">MI</t>
        </is>
      </c>
      <c r="I274" t="inlineStr">
        <is>
          <t xml:space="preserve">NICHD</t>
        </is>
      </c>
      <c r="J274" t="inlineStr">
        <is>
          <t xml:space="preserve">Eunice Kennedy Shriver National Institute of Child Health and Human Development</t>
        </is>
      </c>
      <c r="K274" t="inlineStr">
        <is>
          <t xml:space="preserve">2026</t>
        </is>
      </c>
      <c r="L274" t="inlineStr">
        <is>
          <t xml:space="preserve">450760</t>
        </is>
      </c>
      <c r="M274" t="inlineStr">
        <is>
          <t xml:space="preserve">2026-08-13</t>
        </is>
      </c>
      <c r="N274" t="inlineStr">
        <is>
          <t xml:space="preserve">2030-07-31</t>
        </is>
      </c>
      <c r="O274" t="inlineStr">
        <is>
          <t xml:space="preserve"/>
        </is>
      </c>
      <c r="P274" s="3" t="str">
        <f>HYPERLINK("https://reporter.nih.gov/project-details/11317592","https://reporter.nih.gov/project-details/11317592")</f>
        <v>https://reporter.nih.gov/project-details/11317592</v>
      </c>
    </row>
    <row r="275">
      <c r="A275" t="inlineStr">
        <is>
          <t xml:space="preserve">2026-08-17</t>
        </is>
      </c>
      <c r="B275" t="inlineStr">
        <is>
          <t xml:space="preserve">1R21DC022742-01A1</t>
        </is>
      </c>
      <c r="C275" t="inlineStr">
        <is>
          <t xml:space="preserve">High Density Diffuse Optical Tomography Study of the Neural Mechanisms Supporting Naturalistic Dyadic Interactions in Developmental Language Disorders.</t>
        </is>
      </c>
      <c r="D275" t="inlineStr">
        <is>
          <t xml:space="preserve">Julia L Evans</t>
        </is>
      </c>
      <c r="E275" t="inlineStr">
        <is>
          <t xml:space="preserve">Adam Thomas Eggebrecht; Julia L Evans</t>
        </is>
      </c>
      <c r="F275" t="inlineStr">
        <is>
          <t xml:space="preserve">UNIVERSITY OF TEXAS DALLAS</t>
        </is>
      </c>
      <c r="G275" t="inlineStr">
        <is>
          <t xml:space="preserve">RICHARDSON</t>
        </is>
      </c>
      <c r="H275" t="inlineStr">
        <is>
          <t xml:space="preserve">TX</t>
        </is>
      </c>
      <c r="I275" t="inlineStr">
        <is>
          <t xml:space="preserve">NIDCD</t>
        </is>
      </c>
      <c r="J275" t="inlineStr">
        <is>
          <t xml:space="preserve">National Institute on Deafness and Other Communication Disorders</t>
        </is>
      </c>
      <c r="K275" t="inlineStr">
        <is>
          <t xml:space="preserve">2026</t>
        </is>
      </c>
      <c r="L275" t="inlineStr">
        <is>
          <t xml:space="preserve">416155</t>
        </is>
      </c>
      <c r="M275" t="inlineStr">
        <is>
          <t xml:space="preserve">2026-09-01</t>
        </is>
      </c>
      <c r="N275" t="inlineStr">
        <is>
          <t xml:space="preserve">2028-08-31</t>
        </is>
      </c>
      <c r="O275" t="inlineStr">
        <is>
          <t xml:space="preserve">Device / stimulation</t>
        </is>
      </c>
      <c r="P275" s="3" t="str">
        <f>HYPERLINK("https://reporter.nih.gov/project-details/11310309","https://reporter.nih.gov/project-details/11310309")</f>
        <v>https://reporter.nih.gov/project-details/11310309</v>
      </c>
    </row>
    <row r="276">
      <c r="A276" t="inlineStr">
        <is>
          <t xml:space="preserve">2026-08-17</t>
        </is>
      </c>
      <c r="B276" t="inlineStr">
        <is>
          <t xml:space="preserve">3U01HD116469-02S2</t>
        </is>
      </c>
      <c r="C276" t="inlineStr">
        <is>
          <t xml:space="preserve">Human Trisome Project - Latin America Network</t>
        </is>
      </c>
      <c r="D276" t="inlineStr">
        <is>
          <t xml:space="preserve">Joaquin M. Espinosa</t>
        </is>
      </c>
      <c r="E276" t="inlineStr">
        <is>
          <t xml:space="preserve">Joaquin M. Espinosa; Angela Lynn Rachubinski</t>
        </is>
      </c>
      <c r="F276" t="inlineStr">
        <is>
          <t xml:space="preserve">UNIVERSITY OF COLORADO DENVER</t>
        </is>
      </c>
      <c r="G276" t="inlineStr">
        <is>
          <t xml:space="preserve">Aurora</t>
        </is>
      </c>
      <c r="H276" t="inlineStr">
        <is>
          <t xml:space="preserve">CO</t>
        </is>
      </c>
      <c r="I276" t="inlineStr">
        <is>
          <t xml:space="preserve">NICHD</t>
        </is>
      </c>
      <c r="J276" t="inlineStr">
        <is>
          <t xml:space="preserve">Eunice Kennedy Shriver National Institute of Child Health and Human Development</t>
        </is>
      </c>
      <c r="K276" t="inlineStr">
        <is>
          <t xml:space="preserve">2026</t>
        </is>
      </c>
      <c r="L276" t="inlineStr">
        <is>
          <t xml:space="preserve">269406</t>
        </is>
      </c>
      <c r="M276" t="inlineStr">
        <is>
          <t xml:space="preserve">2024-09-20</t>
        </is>
      </c>
      <c r="N276" t="inlineStr">
        <is>
          <t xml:space="preserve">2029-05-31</t>
        </is>
      </c>
      <c r="O276" t="inlineStr">
        <is>
          <t xml:space="preserve">Small molecule, Behavioral</t>
        </is>
      </c>
      <c r="P276" s="3" t="str">
        <f>HYPERLINK("https://reporter.nih.gov/project-details/11594204","https://reporter.nih.gov/project-details/11594204")</f>
        <v>https://reporter.nih.gov/project-details/11594204</v>
      </c>
    </row>
    <row r="277">
      <c r="A277" t="inlineStr">
        <is>
          <t xml:space="preserve">2026-08-17</t>
        </is>
      </c>
      <c r="B277" t="inlineStr">
        <is>
          <t xml:space="preserve">5K23DC021217-03</t>
        </is>
      </c>
      <c r="C277" t="inlineStr">
        <is>
          <t xml:space="preserve">The Effectiveness of Adjuvant Adenoidectomy in Surgical Management of Otitis Media</t>
        </is>
      </c>
      <c r="D277" t="inlineStr">
        <is>
          <t xml:space="preserve">Kavita Dedhia</t>
        </is>
      </c>
      <c r="E277" t="inlineStr">
        <is>
          <t xml:space="preserve">Kavita Dedhia</t>
        </is>
      </c>
      <c r="F277" t="inlineStr">
        <is>
          <t xml:space="preserve">CHILDREN'S HOSP OF PHILADELPHIA</t>
        </is>
      </c>
      <c r="G277" t="inlineStr">
        <is>
          <t xml:space="preserve">PHILADELPHIA</t>
        </is>
      </c>
      <c r="H277" t="inlineStr">
        <is>
          <t xml:space="preserve">PA</t>
        </is>
      </c>
      <c r="I277" t="inlineStr">
        <is>
          <t xml:space="preserve">NIDCD</t>
        </is>
      </c>
      <c r="J277" t="inlineStr">
        <is>
          <t xml:space="preserve">National Institute on Deafness and Other Communication Disorders</t>
        </is>
      </c>
      <c r="K277" t="inlineStr">
        <is>
          <t xml:space="preserve">2026</t>
        </is>
      </c>
      <c r="L277" t="inlineStr">
        <is>
          <t xml:space="preserve">176913</t>
        </is>
      </c>
      <c r="M277" t="inlineStr">
        <is>
          <t xml:space="preserve">2024-09-01</t>
        </is>
      </c>
      <c r="N277" t="inlineStr">
        <is>
          <t xml:space="preserve">2029-08-31</t>
        </is>
      </c>
      <c r="O277" t="inlineStr">
        <is>
          <t xml:space="preserve"/>
        </is>
      </c>
      <c r="P277" s="3" t="str">
        <f>HYPERLINK("https://reporter.nih.gov/project-details/11386376","https://reporter.nih.gov/project-details/11386376")</f>
        <v>https://reporter.nih.gov/project-details/11386376</v>
      </c>
    </row>
    <row r="278">
      <c r="A278" t="inlineStr">
        <is>
          <t xml:space="preserve">2026-08-17</t>
        </is>
      </c>
      <c r="B278" t="inlineStr">
        <is>
          <t xml:space="preserve">1R13HD123345-01</t>
        </is>
      </c>
      <c r="C278" t="inlineStr">
        <is>
          <t xml:space="preserve">2026 Neural Genetics and Epigenetics Gordon Research Conference</t>
        </is>
      </c>
      <c r="D278" t="inlineStr">
        <is>
          <t xml:space="preserve">Zhaolan Zhou</t>
        </is>
      </c>
      <c r="E278" t="inlineStr">
        <is>
          <t xml:space="preserve">Zhaolan Zhou</t>
        </is>
      </c>
      <c r="F278" t="inlineStr">
        <is>
          <t xml:space="preserve">GORDON RESEARCH CONFERENCES</t>
        </is>
      </c>
      <c r="G278" t="inlineStr">
        <is>
          <t xml:space="preserve">East Greenwich</t>
        </is>
      </c>
      <c r="H278" t="inlineStr">
        <is>
          <t xml:space="preserve">RI</t>
        </is>
      </c>
      <c r="I278" t="inlineStr">
        <is>
          <t xml:space="preserve">NICHD</t>
        </is>
      </c>
      <c r="J278" t="inlineStr">
        <is>
          <t xml:space="preserve">Eunice Kennedy Shriver National Institute of Child Health and Human Development</t>
        </is>
      </c>
      <c r="K278" t="inlineStr">
        <is>
          <t xml:space="preserve">2026</t>
        </is>
      </c>
      <c r="L278" t="inlineStr">
        <is>
          <t xml:space="preserve">25000</t>
        </is>
      </c>
      <c r="M278" t="inlineStr">
        <is>
          <t xml:space="preserve">2026-08-13</t>
        </is>
      </c>
      <c r="N278" t="inlineStr">
        <is>
          <t xml:space="preserve">2027-07-31</t>
        </is>
      </c>
      <c r="O278" t="inlineStr">
        <is>
          <t xml:space="preserve">Gene therapy, Small molecule</t>
        </is>
      </c>
      <c r="P278" s="3" t="str">
        <f>HYPERLINK("https://reporter.nih.gov/project-details/11465392","https://reporter.nih.gov/project-details/11465392")</f>
        <v>https://reporter.nih.gov/project-details/11465392</v>
      </c>
    </row>
    <row r="279">
      <c r="A279" t="inlineStr">
        <is>
          <t xml:space="preserve">2026-08-17</t>
        </is>
      </c>
      <c r="B279" t="inlineStr">
        <is>
          <t xml:space="preserve">5F31MH138093-03</t>
        </is>
      </c>
      <c r="C279" t="inlineStr">
        <is>
          <t xml:space="preserve">Exploring the Contribution of Distinct mPFC Cell-Types to the Encoding of Decision-Making Outcome</t>
        </is>
      </c>
      <c r="D279" t="inlineStr">
        <is>
          <t xml:space="preserve">Douglas Vormstein-Schneider</t>
        </is>
      </c>
      <c r="E279" t="inlineStr">
        <is>
          <t xml:space="preserve">Douglas Vormstein-Schneider</t>
        </is>
      </c>
      <c r="F279" t="inlineStr">
        <is>
          <t xml:space="preserve">UNIVERSITY OF CALIFORNIA LOS ANGELES</t>
        </is>
      </c>
      <c r="G279" t="inlineStr">
        <is>
          <t xml:space="preserve">LOS ANGELES</t>
        </is>
      </c>
      <c r="H279" t="inlineStr">
        <is>
          <t xml:space="preserve">CA</t>
        </is>
      </c>
      <c r="I279" t="inlineStr">
        <is>
          <t xml:space="preserve">NIMH</t>
        </is>
      </c>
      <c r="J279" t="inlineStr">
        <is>
          <t xml:space="preserve">National Institute of Mental Health</t>
        </is>
      </c>
      <c r="K279" t="inlineStr">
        <is>
          <t xml:space="preserve">2026</t>
        </is>
      </c>
      <c r="L279" t="inlineStr">
        <is>
          <t xml:space="preserve">28230</t>
        </is>
      </c>
      <c r="M279" t="inlineStr">
        <is>
          <t xml:space="preserve">2024-09-30</t>
        </is>
      </c>
      <c r="N279" t="inlineStr">
        <is>
          <t xml:space="preserve">2027-03-29</t>
        </is>
      </c>
      <c r="O279" t="inlineStr">
        <is>
          <t xml:space="preserve">Gene therapy, Peptide</t>
        </is>
      </c>
      <c r="P279" s="3" t="str">
        <f>HYPERLINK("https://reporter.nih.gov/project-details/11399117","https://reporter.nih.gov/project-details/11399117")</f>
        <v>https://reporter.nih.gov/project-details/11399117</v>
      </c>
    </row>
    <row r="280">
      <c r="A280" t="inlineStr">
        <is>
          <t xml:space="preserve">2026-08-17</t>
        </is>
      </c>
      <c r="B280" t="inlineStr">
        <is>
          <t xml:space="preserve">1R01HD118985-01A1</t>
        </is>
      </c>
      <c r="C280" t="inlineStr">
        <is>
          <t xml:space="preserve">Noncoding RNAs in Neurodevelopmental Disorders</t>
        </is>
      </c>
      <c r="D280" t="inlineStr">
        <is>
          <t xml:space="preserve">Daniel Brian Campbell</t>
        </is>
      </c>
      <c r="E280" t="inlineStr">
        <is>
          <t xml:space="preserve">Daniel Brian Campbell</t>
        </is>
      </c>
      <c r="F280" t="inlineStr">
        <is>
          <t xml:space="preserve">HENRY FORD HEALTH + MICHIGAN STATE UNIVERSITY HEALTH SCIENCES</t>
        </is>
      </c>
      <c r="G280" t="inlineStr">
        <is>
          <t xml:space="preserve">EAST LANSING</t>
        </is>
      </c>
      <c r="H280" t="inlineStr">
        <is>
          <t xml:space="preserve">MI</t>
        </is>
      </c>
      <c r="I280" t="inlineStr">
        <is>
          <t xml:space="preserve">NICHD</t>
        </is>
      </c>
      <c r="J280" t="inlineStr">
        <is>
          <t xml:space="preserve">Eunice Kennedy Shriver National Institute of Child Health and Human Development</t>
        </is>
      </c>
      <c r="K280" t="inlineStr">
        <is>
          <t xml:space="preserve">2026</t>
        </is>
      </c>
      <c r="L280" t="inlineStr">
        <is>
          <t xml:space="preserve">709408</t>
        </is>
      </c>
      <c r="M280" t="inlineStr">
        <is>
          <t xml:space="preserve">2026-08-13</t>
        </is>
      </c>
      <c r="N280" t="inlineStr">
        <is>
          <t xml:space="preserve">2031-07-31</t>
        </is>
      </c>
      <c r="O280" t="inlineStr">
        <is>
          <t xml:space="preserve">Peptide</t>
        </is>
      </c>
      <c r="P280" s="3" t="str">
        <f>HYPERLINK("https://reporter.nih.gov/project-details/11365359","https://reporter.nih.gov/project-details/11365359")</f>
        <v>https://reporter.nih.gov/project-details/11365359</v>
      </c>
    </row>
    <row r="281">
      <c r="A281" t="inlineStr">
        <is>
          <t xml:space="preserve">2026-08-17</t>
        </is>
      </c>
      <c r="B281" t="inlineStr">
        <is>
          <t xml:space="preserve">1R01MH143936-01</t>
        </is>
      </c>
      <c r="C281" t="inlineStr">
        <is>
          <t xml:space="preserve">Coordinated maturation of neurons and synapses in the adolescent human neocortex</t>
        </is>
      </c>
      <c r="D281" t="inlineStr">
        <is>
          <t xml:space="preserve">Scott Owen</t>
        </is>
      </c>
      <c r="E281" t="inlineStr">
        <is>
          <t xml:space="preserve">Scott Owen</t>
        </is>
      </c>
      <c r="F281" t="inlineStr">
        <is>
          <t xml:space="preserve">STANFORD UNIVERSITY</t>
        </is>
      </c>
      <c r="G281" t="inlineStr">
        <is>
          <t xml:space="preserve">STANFORD</t>
        </is>
      </c>
      <c r="H281" t="inlineStr">
        <is>
          <t xml:space="preserve">CA</t>
        </is>
      </c>
      <c r="I281" t="inlineStr">
        <is>
          <t xml:space="preserve">NIMH</t>
        </is>
      </c>
      <c r="J281" t="inlineStr">
        <is>
          <t xml:space="preserve">National Institute of Mental Health</t>
        </is>
      </c>
      <c r="K281" t="inlineStr">
        <is>
          <t xml:space="preserve">2026</t>
        </is>
      </c>
      <c r="L281" t="inlineStr">
        <is>
          <t xml:space="preserve">734707</t>
        </is>
      </c>
      <c r="M281" t="inlineStr">
        <is>
          <t xml:space="preserve">2026-08-13</t>
        </is>
      </c>
      <c r="N281" t="inlineStr">
        <is>
          <t xml:space="preserve">2031-04-30</t>
        </is>
      </c>
      <c r="O281" t="inlineStr">
        <is>
          <t xml:space="preserve">Gene therapy</t>
        </is>
      </c>
      <c r="P281" s="3" t="str">
        <f>HYPERLINK("https://reporter.nih.gov/project-details/11343047","https://reporter.nih.gov/project-details/11343047")</f>
        <v>https://reporter.nih.gov/project-details/11343047</v>
      </c>
    </row>
    <row r="282">
      <c r="A282" t="inlineStr">
        <is>
          <t xml:space="preserve">2026-08-17</t>
        </is>
      </c>
      <c r="B282" t="inlineStr">
        <is>
          <t xml:space="preserve">1R15MH141564-01A1</t>
        </is>
      </c>
      <c r="C282" t="inlineStr">
        <is>
          <t xml:space="preserve">Toward the Prevention of Depression Among Neurodivergent College Students</t>
        </is>
      </c>
      <c r="D282" t="inlineStr">
        <is>
          <t xml:space="preserve">Steven M. Brunwasser</t>
        </is>
      </c>
      <c r="E282" t="inlineStr">
        <is>
          <t xml:space="preserve">Steven M. Brunwasser</t>
        </is>
      </c>
      <c r="F282" t="inlineStr">
        <is>
          <t xml:space="preserve">ROWAN UNIVERSITY</t>
        </is>
      </c>
      <c r="G282" t="inlineStr">
        <is>
          <t xml:space="preserve">GLASSBORO</t>
        </is>
      </c>
      <c r="H282" t="inlineStr">
        <is>
          <t xml:space="preserve">NJ</t>
        </is>
      </c>
      <c r="I282" t="inlineStr">
        <is>
          <t xml:space="preserve">NIMH</t>
        </is>
      </c>
      <c r="J282" t="inlineStr">
        <is>
          <t xml:space="preserve">National Institute of Mental Health</t>
        </is>
      </c>
      <c r="K282" t="inlineStr">
        <is>
          <t xml:space="preserve">2026</t>
        </is>
      </c>
      <c r="L282" t="inlineStr">
        <is>
          <t xml:space="preserve">562666</t>
        </is>
      </c>
      <c r="M282" t="inlineStr">
        <is>
          <t xml:space="preserve">2025-09-01</t>
        </is>
      </c>
      <c r="N282" t="inlineStr">
        <is>
          <t xml:space="preserve">2029-08-31</t>
        </is>
      </c>
      <c r="O282" t="inlineStr">
        <is>
          <t xml:space="preserve"/>
        </is>
      </c>
      <c r="P282" s="3" t="str">
        <f>HYPERLINK("https://reporter.nih.gov/project-details/11360877","https://reporter.nih.gov/project-details/11360877")</f>
        <v>https://reporter.nih.gov/project-details/11360877</v>
      </c>
    </row>
    <row r="283">
      <c r="A283" t="inlineStr">
        <is>
          <t xml:space="preserve">2026-08-17</t>
        </is>
      </c>
      <c r="B283" t="inlineStr">
        <is>
          <t xml:space="preserve">1R21HD119274-01A1</t>
        </is>
      </c>
      <c r="C283" t="inlineStr">
        <is>
          <t xml:space="preserve">Characterizing Fragile X syndrome in the human brain</t>
        </is>
      </c>
      <c r="D283" t="inlineStr">
        <is>
          <t xml:space="preserve">Caroline Marie Dias</t>
        </is>
      </c>
      <c r="E283" t="inlineStr">
        <is>
          <t xml:space="preserve">Caroline Marie Dias</t>
        </is>
      </c>
      <c r="F283" t="inlineStr">
        <is>
          <t xml:space="preserve">UNIVERSITY OF COLORADO DENVER</t>
        </is>
      </c>
      <c r="G283" t="inlineStr">
        <is>
          <t xml:space="preserve">Aurora</t>
        </is>
      </c>
      <c r="H283" t="inlineStr">
        <is>
          <t xml:space="preserve">CO</t>
        </is>
      </c>
      <c r="I283" t="inlineStr">
        <is>
          <t xml:space="preserve">NICHD</t>
        </is>
      </c>
      <c r="J283" t="inlineStr">
        <is>
          <t xml:space="preserve">Eunice Kennedy Shriver National Institute of Child Health and Human Development</t>
        </is>
      </c>
      <c r="K283" t="inlineStr">
        <is>
          <t xml:space="preserve">2026</t>
        </is>
      </c>
      <c r="L283" t="inlineStr">
        <is>
          <t xml:space="preserve">429000</t>
        </is>
      </c>
      <c r="M283" t="inlineStr">
        <is>
          <t xml:space="preserve">2026-08-14</t>
        </is>
      </c>
      <c r="N283" t="inlineStr">
        <is>
          <t xml:space="preserve">2028-07-31</t>
        </is>
      </c>
      <c r="O283" t="inlineStr">
        <is>
          <t xml:space="preserve"/>
        </is>
      </c>
      <c r="P283" s="3" t="str">
        <f>HYPERLINK("https://reporter.nih.gov/project-details/11369399","https://reporter.nih.gov/project-details/11369399")</f>
        <v>https://reporter.nih.gov/project-details/11369399</v>
      </c>
    </row>
    <row r="284">
      <c r="A284" t="inlineStr">
        <is>
          <t xml:space="preserve">2026-08-14</t>
        </is>
      </c>
      <c r="B284" t="inlineStr">
        <is>
          <t xml:space="preserve">5U24AG092191-03</t>
        </is>
      </c>
      <c r="C284" t="inlineStr">
        <is>
          <t xml:space="preserve">The INCLUDE Project Down Syndrome Biorepository (DS-Biorepository)</t>
        </is>
      </c>
      <c r="D284" t="inlineStr">
        <is>
          <t xml:space="preserve">Joaquin M. Espinosa</t>
        </is>
      </c>
      <c r="E284" t="inlineStr">
        <is>
          <t xml:space="preserve">Joaquin M. Espinosa; Matthew D Galbraith; Elizabeth Head; Angela Lynn Rachubinski</t>
        </is>
      </c>
      <c r="F284" t="inlineStr">
        <is>
          <t xml:space="preserve">UNIVERSITY OF COLORADO DENVER</t>
        </is>
      </c>
      <c r="G284" t="inlineStr">
        <is>
          <t xml:space="preserve">Aurora</t>
        </is>
      </c>
      <c r="H284" t="inlineStr">
        <is>
          <t xml:space="preserve">CO</t>
        </is>
      </c>
      <c r="I284" t="inlineStr">
        <is>
          <t xml:space="preserve">NIA</t>
        </is>
      </c>
      <c r="J284" t="inlineStr">
        <is>
          <t xml:space="preserve">National Institute on Aging</t>
        </is>
      </c>
      <c r="K284" t="inlineStr">
        <is>
          <t xml:space="preserve">2026</t>
        </is>
      </c>
      <c r="L284" t="inlineStr">
        <is>
          <t xml:space="preserve">5325989</t>
        </is>
      </c>
      <c r="M284" t="inlineStr">
        <is>
          <t xml:space="preserve">2024-09-30</t>
        </is>
      </c>
      <c r="N284" t="inlineStr">
        <is>
          <t xml:space="preserve">2029-08-31</t>
        </is>
      </c>
      <c r="O284" t="inlineStr">
        <is>
          <t xml:space="preserve"/>
        </is>
      </c>
      <c r="P284" s="3" t="str">
        <f>HYPERLINK("https://reporter.nih.gov/project-details/11385482","https://reporter.nih.gov/project-details/11385482")</f>
        <v>https://reporter.nih.gov/project-details/11385482</v>
      </c>
    </row>
    <row r="285">
      <c r="A285" t="inlineStr">
        <is>
          <t xml:space="preserve">2026-08-14</t>
        </is>
      </c>
      <c r="B285" t="inlineStr">
        <is>
          <t xml:space="preserve">5R01MH135924-02</t>
        </is>
      </c>
      <c r="C285" t="inlineStr">
        <is>
          <t xml:space="preserve">Coaching and Leadership in Autism Support Settings (CLASS)</t>
        </is>
      </c>
      <c r="D285" t="inlineStr">
        <is>
          <t xml:space="preserve">JILL J LOCKE</t>
        </is>
      </c>
      <c r="E285" t="inlineStr">
        <is>
          <t xml:space="preserve">KAREN ELIZABETH BEARSS; JILL J LOCKE</t>
        </is>
      </c>
      <c r="F285" t="inlineStr">
        <is>
          <t xml:space="preserve">UNIVERSITY OF CALIFORNIA LOS ANGELES</t>
        </is>
      </c>
      <c r="G285" t="inlineStr">
        <is>
          <t xml:space="preserve">LOS ANGELES</t>
        </is>
      </c>
      <c r="H285" t="inlineStr">
        <is>
          <t xml:space="preserve">CA</t>
        </is>
      </c>
      <c r="I285" t="inlineStr">
        <is>
          <t xml:space="preserve">NIMH</t>
        </is>
      </c>
      <c r="J285" t="inlineStr">
        <is>
          <t xml:space="preserve">National Institute of Mental Health</t>
        </is>
      </c>
      <c r="K285" t="inlineStr">
        <is>
          <t xml:space="preserve">2026</t>
        </is>
      </c>
      <c r="L285" t="inlineStr">
        <is>
          <t xml:space="preserve">932382</t>
        </is>
      </c>
      <c r="M285" t="inlineStr">
        <is>
          <t xml:space="preserve">2025-09-18</t>
        </is>
      </c>
      <c r="N285" t="inlineStr">
        <is>
          <t xml:space="preserve">2030-08-31</t>
        </is>
      </c>
      <c r="O285" t="inlineStr">
        <is>
          <t xml:space="preserve">Behavioral</t>
        </is>
      </c>
      <c r="P285" s="3" t="str">
        <f>HYPERLINK("https://reporter.nih.gov/project-details/11418367","https://reporter.nih.gov/project-details/11418367")</f>
        <v>https://reporter.nih.gov/project-details/11418367</v>
      </c>
    </row>
    <row r="286">
      <c r="A286" t="inlineStr">
        <is>
          <t xml:space="preserve">2026-08-14</t>
        </is>
      </c>
      <c r="B286" t="inlineStr">
        <is>
          <t xml:space="preserve">1R21NS142816-01A1</t>
        </is>
      </c>
      <c r="C286" t="inlineStr">
        <is>
          <t xml:space="preserve">Synthetic Biology in Neurons: Chemogenetic Control of Selective Calcium Signaling in Neurons</t>
        </is>
      </c>
      <c r="D286" t="inlineStr">
        <is>
          <t xml:space="preserve">Kiran Pandey</t>
        </is>
      </c>
      <c r="E286" t="inlineStr">
        <is>
          <t xml:space="preserve">Kiran Pandey</t>
        </is>
      </c>
      <c r="F286" t="inlineStr">
        <is>
          <t xml:space="preserve">WEILL MEDICAL COLL OF CORNELL UNIV</t>
        </is>
      </c>
      <c r="G286" t="inlineStr">
        <is>
          <t xml:space="preserve">NEW YORK</t>
        </is>
      </c>
      <c r="H286" t="inlineStr">
        <is>
          <t xml:space="preserve">NY</t>
        </is>
      </c>
      <c r="I286" t="inlineStr">
        <is>
          <t xml:space="preserve">NINDS</t>
        </is>
      </c>
      <c r="J286" t="inlineStr">
        <is>
          <t xml:space="preserve">National Institute of Neurological Disorders and Stroke</t>
        </is>
      </c>
      <c r="K286" t="inlineStr">
        <is>
          <t xml:space="preserve">2026</t>
        </is>
      </c>
      <c r="L286" t="inlineStr">
        <is>
          <t xml:space="preserve">466125</t>
        </is>
      </c>
      <c r="M286" t="inlineStr">
        <is>
          <t xml:space="preserve">2026-09-01</t>
        </is>
      </c>
      <c r="N286" t="inlineStr">
        <is>
          <t xml:space="preserve">2028-08-31</t>
        </is>
      </c>
      <c r="O286" t="inlineStr">
        <is>
          <t xml:space="preserve">Nucleic acid therapeutics, Viral vector, Small molecule, Device / stimulation</t>
        </is>
      </c>
      <c r="P286" s="3" t="str">
        <f>HYPERLINK("https://reporter.nih.gov/project-details/11374346","https://reporter.nih.gov/project-details/11374346")</f>
        <v>https://reporter.nih.gov/project-details/11374346</v>
      </c>
    </row>
    <row r="287">
      <c r="A287" t="inlineStr">
        <is>
          <t xml:space="preserve">2026-08-14</t>
        </is>
      </c>
      <c r="B287" t="inlineStr">
        <is>
          <t xml:space="preserve">1R21HD119459-01A1</t>
        </is>
      </c>
      <c r="C287" t="inlineStr">
        <is>
          <t xml:space="preserve">Computational Phenotyping for Identification of Early Indictors of Down Syndrome Regression Disorder and Detection of at-risk Patients</t>
        </is>
      </c>
      <c r="D287" t="inlineStr">
        <is>
          <t xml:space="preserve">AREZOO MOVAGHAR</t>
        </is>
      </c>
      <c r="E287" t="inlineStr">
        <is>
          <t xml:space="preserve">AREZOO MOVAGHAR</t>
        </is>
      </c>
      <c r="F287" t="inlineStr">
        <is>
          <t xml:space="preserve">WAKE FOREST UNIVERSITY HEALTH SCIENCES</t>
        </is>
      </c>
      <c r="G287" t="inlineStr">
        <is>
          <t xml:space="preserve">WINSTON-SALEM</t>
        </is>
      </c>
      <c r="H287" t="inlineStr">
        <is>
          <t xml:space="preserve">NC</t>
        </is>
      </c>
      <c r="I287" t="inlineStr">
        <is>
          <t xml:space="preserve">NICHD</t>
        </is>
      </c>
      <c r="J287" t="inlineStr">
        <is>
          <t xml:space="preserve">Eunice Kennedy Shriver National Institute of Child Health and Human Development</t>
        </is>
      </c>
      <c r="K287" t="inlineStr">
        <is>
          <t xml:space="preserve">2026</t>
        </is>
      </c>
      <c r="L287" t="inlineStr">
        <is>
          <t xml:space="preserve">417450</t>
        </is>
      </c>
      <c r="M287" t="inlineStr">
        <is>
          <t xml:space="preserve">2026-09-01</t>
        </is>
      </c>
      <c r="N287" t="inlineStr">
        <is>
          <t xml:space="preserve">2028-08-31</t>
        </is>
      </c>
      <c r="O287" t="inlineStr">
        <is>
          <t xml:space="preserve">Antibody, Behavioral</t>
        </is>
      </c>
      <c r="P287" s="3" t="str">
        <f>HYPERLINK("https://reporter.nih.gov/project-details/11374685","https://reporter.nih.gov/project-details/11374685")</f>
        <v>https://reporter.nih.gov/project-details/11374685</v>
      </c>
    </row>
    <row r="288">
      <c r="A288" t="inlineStr">
        <is>
          <t xml:space="preserve">2026-08-14</t>
        </is>
      </c>
      <c r="B288" t="inlineStr">
        <is>
          <t xml:space="preserve">1R21MH142906-01</t>
        </is>
      </c>
      <c r="C288" t="inlineStr">
        <is>
          <t xml:space="preserve">Integrating Family Navigation in Part-C Early Intervention Systems</t>
        </is>
      </c>
      <c r="D288" t="inlineStr">
        <is>
          <t xml:space="preserve">James D Lee</t>
        </is>
      </c>
      <c r="E288" t="inlineStr">
        <is>
          <t xml:space="preserve">James D Lee</t>
        </is>
      </c>
      <c r="F288" t="inlineStr">
        <is>
          <t xml:space="preserve">UNIVERSITY OF TEXAS AT AUSTIN</t>
        </is>
      </c>
      <c r="G288" t="inlineStr">
        <is>
          <t xml:space="preserve">AUSTIN</t>
        </is>
      </c>
      <c r="H288" t="inlineStr">
        <is>
          <t xml:space="preserve">TX</t>
        </is>
      </c>
      <c r="I288" t="inlineStr">
        <is>
          <t xml:space="preserve">NIMH</t>
        </is>
      </c>
      <c r="J288" t="inlineStr">
        <is>
          <t xml:space="preserve">National Institute of Mental Health</t>
        </is>
      </c>
      <c r="K288" t="inlineStr">
        <is>
          <t xml:space="preserve">2026</t>
        </is>
      </c>
      <c r="L288" t="inlineStr">
        <is>
          <t xml:space="preserve">441886</t>
        </is>
      </c>
      <c r="M288" t="inlineStr">
        <is>
          <t xml:space="preserve">2026-08-12</t>
        </is>
      </c>
      <c r="N288" t="inlineStr">
        <is>
          <t xml:space="preserve">2028-08-11</t>
        </is>
      </c>
      <c r="O288" t="inlineStr">
        <is>
          <t xml:space="preserve">Behavioral</t>
        </is>
      </c>
      <c r="P288" s="3" t="str">
        <f>HYPERLINK("https://reporter.nih.gov/project-details/11286357","https://reporter.nih.gov/project-details/11286357")</f>
        <v>https://reporter.nih.gov/project-details/11286357</v>
      </c>
    </row>
    <row r="289">
      <c r="A289" t="inlineStr">
        <is>
          <t xml:space="preserve">2026-08-14</t>
        </is>
      </c>
      <c r="B289" t="inlineStr">
        <is>
          <t xml:space="preserve">3R01MH126960-06S1</t>
        </is>
      </c>
      <c r="C289" t="inlineStr">
        <is>
          <t xml:space="preserve">Convergent mechanisms for neurodevelopmental disorder genes</t>
        </is>
      </c>
      <c r="D289" t="inlineStr">
        <is>
          <t xml:space="preserve">Paul Michael Jenkins</t>
        </is>
      </c>
      <c r="E289" t="inlineStr">
        <is>
          <t xml:space="preserve">Nadav Ahituv; Kevin J Bender; Paul Michael Jenkins</t>
        </is>
      </c>
      <c r="F289" t="inlineStr">
        <is>
          <t xml:space="preserve">UNIVERSITY OF MICHIGAN AT ANN ARBOR</t>
        </is>
      </c>
      <c r="G289" t="inlineStr">
        <is>
          <t xml:space="preserve">ANN ARBOR</t>
        </is>
      </c>
      <c r="H289" t="inlineStr">
        <is>
          <t xml:space="preserve">MI</t>
        </is>
      </c>
      <c r="I289" t="inlineStr">
        <is>
          <t xml:space="preserve">NIMH</t>
        </is>
      </c>
      <c r="J289" t="inlineStr">
        <is>
          <t xml:space="preserve">National Institute of Mental Health</t>
        </is>
      </c>
      <c r="K289" t="inlineStr">
        <is>
          <t xml:space="preserve">2026</t>
        </is>
      </c>
      <c r="L289" t="inlineStr">
        <is>
          <t xml:space="preserve">86029</t>
        </is>
      </c>
      <c r="M289" t="inlineStr">
        <is>
          <t xml:space="preserve">2021-05-14</t>
        </is>
      </c>
      <c r="N289" t="inlineStr">
        <is>
          <t xml:space="preserve">2027-02-28</t>
        </is>
      </c>
      <c r="O289" t="inlineStr">
        <is>
          <t xml:space="preserve"/>
        </is>
      </c>
      <c r="P289" s="3" t="str">
        <f>HYPERLINK("https://reporter.nih.gov/project-details/11600294","https://reporter.nih.gov/project-details/11600294")</f>
        <v>https://reporter.nih.gov/project-details/11600294</v>
      </c>
    </row>
    <row r="290">
      <c r="A290" t="inlineStr">
        <is>
          <t xml:space="preserve">2026-08-14</t>
        </is>
      </c>
      <c r="B290" t="inlineStr">
        <is>
          <t xml:space="preserve">3R01NS131433-03S2</t>
        </is>
      </c>
      <c r="C290" t="inlineStr">
        <is>
          <t xml:space="preserve">LEGENNDS: Linking Epidemiology and GEnetics of Neurodevelopmental and Neurodegenerative Disorders Study</t>
        </is>
      </c>
      <c r="D290" t="inlineStr">
        <is>
          <t xml:space="preserve">Brian Kane Lee</t>
        </is>
      </c>
      <c r="E290" t="inlineStr">
        <is>
          <t xml:space="preserve">Brian Kane Lee</t>
        </is>
      </c>
      <c r="F290" t="inlineStr">
        <is>
          <t xml:space="preserve">DREXEL UNIVERSITY</t>
        </is>
      </c>
      <c r="G290" t="inlineStr">
        <is>
          <t xml:space="preserve">PHILADELPHIA</t>
        </is>
      </c>
      <c r="H290" t="inlineStr">
        <is>
          <t xml:space="preserve">PA</t>
        </is>
      </c>
      <c r="I290" t="inlineStr">
        <is>
          <t xml:space="preserve">NINDS</t>
        </is>
      </c>
      <c r="J290" t="inlineStr">
        <is>
          <t xml:space="preserve">National Institute of Neurological Disorders and Stroke</t>
        </is>
      </c>
      <c r="K290" t="inlineStr">
        <is>
          <t xml:space="preserve">2026</t>
        </is>
      </c>
      <c r="L290" t="inlineStr">
        <is>
          <t xml:space="preserve">181960</t>
        </is>
      </c>
      <c r="M290" t="inlineStr">
        <is>
          <t xml:space="preserve">2023-05-01</t>
        </is>
      </c>
      <c r="N290" t="inlineStr">
        <is>
          <t xml:space="preserve">2029-04-30</t>
        </is>
      </c>
      <c r="O290" t="inlineStr">
        <is>
          <t xml:space="preserve"/>
        </is>
      </c>
      <c r="P290" s="3" t="str">
        <f>HYPERLINK("https://reporter.nih.gov/project-details/11578724","https://reporter.nih.gov/project-details/11578724")</f>
        <v>https://reporter.nih.gov/project-details/11578724</v>
      </c>
    </row>
    <row r="291">
      <c r="A291" t="inlineStr">
        <is>
          <t xml:space="preserve">2026-08-14</t>
        </is>
      </c>
      <c r="B291" t="inlineStr">
        <is>
          <t xml:space="preserve">1R01NS148408-01</t>
        </is>
      </c>
      <c r="C291" t="inlineStr">
        <is>
          <t xml:space="preserve">UBE3A mosaicism and its relationship to Angelman syndrome phenotypes</t>
        </is>
      </c>
      <c r="D291" t="inlineStr">
        <is>
          <t xml:space="preserve">Mark J. Zylka</t>
        </is>
      </c>
      <c r="E291" t="inlineStr">
        <is>
          <t xml:space="preserve">Mark J. Zylka</t>
        </is>
      </c>
      <c r="F291" t="inlineStr">
        <is>
          <t xml:space="preserve">UNIV OF NORTH CAROLINA CHAPEL HILL</t>
        </is>
      </c>
      <c r="G291" t="inlineStr">
        <is>
          <t xml:space="preserve">CHAPEL HILL</t>
        </is>
      </c>
      <c r="H291" t="inlineStr">
        <is>
          <t xml:space="preserve">NC</t>
        </is>
      </c>
      <c r="I291" t="inlineStr">
        <is>
          <t xml:space="preserve">NINDS</t>
        </is>
      </c>
      <c r="J291" t="inlineStr">
        <is>
          <t xml:space="preserve">National Institute of Neurological Disorders and Stroke</t>
        </is>
      </c>
      <c r="K291" t="inlineStr">
        <is>
          <t xml:space="preserve">2026</t>
        </is>
      </c>
      <c r="L291" t="inlineStr">
        <is>
          <t xml:space="preserve">615286</t>
        </is>
      </c>
      <c r="M291" t="inlineStr">
        <is>
          <t xml:space="preserve">2026-08-14</t>
        </is>
      </c>
      <c r="N291" t="inlineStr">
        <is>
          <t xml:space="preserve">2031-05-31</t>
        </is>
      </c>
      <c r="O291" t="inlineStr">
        <is>
          <t xml:space="preserve">Gene therapy, Nucleic acid therapeutics, Viral vector, Device / stimulation</t>
        </is>
      </c>
      <c r="P291" s="3" t="str">
        <f>HYPERLINK("https://reporter.nih.gov/project-details/11343229","https://reporter.nih.gov/project-details/11343229")</f>
        <v>https://reporter.nih.gov/project-details/11343229</v>
      </c>
    </row>
    <row r="292">
      <c r="A292" t="inlineStr">
        <is>
          <t xml:space="preserve">2026-08-14</t>
        </is>
      </c>
      <c r="B292" t="inlineStr">
        <is>
          <t xml:space="preserve">5UM1MH130991-05</t>
        </is>
      </c>
      <c r="C292" t="inlineStr">
        <is>
          <t xml:space="preserve">A Multidisciplinary Center for Developing Human and Non-human Primate Brain Cell Atlases</t>
        </is>
      </c>
      <c r="D292" t="inlineStr">
        <is>
          <t xml:space="preserve">ARNOLD KRIEGSTEIN</t>
        </is>
      </c>
      <c r="E292" t="inlineStr">
        <is>
          <t xml:space="preserve">Hao Huang; ARNOLD KRIEGSTEIN; Jon E Levine; ALEXANDER A POLLEN</t>
        </is>
      </c>
      <c r="F292" t="inlineStr">
        <is>
          <t xml:space="preserve">UNIVERSITY OF CALIFORNIA, SAN FRANCISCO</t>
        </is>
      </c>
      <c r="G292" t="inlineStr">
        <is>
          <t xml:space="preserve">SAN FRANCISCO</t>
        </is>
      </c>
      <c r="H292" t="inlineStr">
        <is>
          <t xml:space="preserve">CA</t>
        </is>
      </c>
      <c r="I292" t="inlineStr">
        <is>
          <t xml:space="preserve">NIMH</t>
        </is>
      </c>
      <c r="J292" t="inlineStr">
        <is>
          <t xml:space="preserve">National Institute of Mental Health</t>
        </is>
      </c>
      <c r="K292" t="inlineStr">
        <is>
          <t xml:space="preserve">2026</t>
        </is>
      </c>
      <c r="L292" t="inlineStr">
        <is>
          <t xml:space="preserve">4723298</t>
        </is>
      </c>
      <c r="M292" t="inlineStr">
        <is>
          <t xml:space="preserve">2022-09-16</t>
        </is>
      </c>
      <c r="N292" t="inlineStr">
        <is>
          <t xml:space="preserve">2027-06-30</t>
        </is>
      </c>
      <c r="O292" t="inlineStr">
        <is>
          <t xml:space="preserve"/>
        </is>
      </c>
      <c r="P292" s="3" t="str">
        <f>HYPERLINK("https://reporter.nih.gov/project-details/11417222","https://reporter.nih.gov/project-details/11417222")</f>
        <v>https://reporter.nih.gov/project-details/11417222</v>
      </c>
    </row>
    <row r="293">
      <c r="A293" t="inlineStr">
        <is>
          <t xml:space="preserve">2026-08-14</t>
        </is>
      </c>
      <c r="B293" t="inlineStr">
        <is>
          <t xml:space="preserve">1R15NS147317-01A1</t>
        </is>
      </c>
      <c r="C293" t="inlineStr">
        <is>
          <t xml:space="preserve">The Role of Protocadherin 19 in Human Cortical Development</t>
        </is>
      </c>
      <c r="D293" t="inlineStr">
        <is>
          <t xml:space="preserve">Wei Niu</t>
        </is>
      </c>
      <c r="E293" t="inlineStr">
        <is>
          <t xml:space="preserve">Wei Niu</t>
        </is>
      </c>
      <c r="F293" t="inlineStr">
        <is>
          <t xml:space="preserve">UNIVERSITY OF TOLEDO</t>
        </is>
      </c>
      <c r="G293" t="inlineStr">
        <is>
          <t xml:space="preserve">TOLEDO</t>
        </is>
      </c>
      <c r="H293" t="inlineStr">
        <is>
          <t xml:space="preserve">OH</t>
        </is>
      </c>
      <c r="I293" t="inlineStr">
        <is>
          <t xml:space="preserve">NINDS</t>
        </is>
      </c>
      <c r="J293" t="inlineStr">
        <is>
          <t xml:space="preserve">National Institute of Neurological Disorders and Stroke</t>
        </is>
      </c>
      <c r="K293" t="inlineStr">
        <is>
          <t xml:space="preserve">2026</t>
        </is>
      </c>
      <c r="L293" t="inlineStr">
        <is>
          <t xml:space="preserve">587758</t>
        </is>
      </c>
      <c r="M293" t="inlineStr">
        <is>
          <t xml:space="preserve">2026-08-15</t>
        </is>
      </c>
      <c r="N293" t="inlineStr">
        <is>
          <t xml:space="preserve">2029-07-31</t>
        </is>
      </c>
      <c r="O293" t="inlineStr">
        <is>
          <t xml:space="preserve">Gene therapy, Small molecule</t>
        </is>
      </c>
      <c r="P293" s="3" t="str">
        <f>HYPERLINK("https://reporter.nih.gov/project-details/11445141","https://reporter.nih.gov/project-details/11445141")</f>
        <v>https://reporter.nih.gov/project-details/11445141</v>
      </c>
    </row>
    <row r="294">
      <c r="A294" t="inlineStr">
        <is>
          <t xml:space="preserve">2026-08-14</t>
        </is>
      </c>
      <c r="B294" t="inlineStr">
        <is>
          <t xml:space="preserve">1R15NS151327-01</t>
        </is>
      </c>
      <c r="C294" t="inlineStr">
        <is>
          <t xml:space="preserve">MicroRNA Regulation of Guidance Receptor Expression in Spinal Commissural Axon Guidance</t>
        </is>
      </c>
      <c r="D294" t="inlineStr">
        <is>
          <t xml:space="preserve">Guofa Liu</t>
        </is>
      </c>
      <c r="E294" t="inlineStr">
        <is>
          <t xml:space="preserve">Guofa Liu</t>
        </is>
      </c>
      <c r="F294" t="inlineStr">
        <is>
          <t xml:space="preserve">UNIVERSITY OF TOLEDO</t>
        </is>
      </c>
      <c r="G294" t="inlineStr">
        <is>
          <t xml:space="preserve">TOLEDO</t>
        </is>
      </c>
      <c r="H294" t="inlineStr">
        <is>
          <t xml:space="preserve">OH</t>
        </is>
      </c>
      <c r="I294" t="inlineStr">
        <is>
          <t xml:space="preserve">NINDS</t>
        </is>
      </c>
      <c r="J294" t="inlineStr">
        <is>
          <t xml:space="preserve">National Institute of Neurological Disorders and Stroke</t>
        </is>
      </c>
      <c r="K294" t="inlineStr">
        <is>
          <t xml:space="preserve">2026</t>
        </is>
      </c>
      <c r="L294" t="inlineStr">
        <is>
          <t xml:space="preserve">560925</t>
        </is>
      </c>
      <c r="M294" t="inlineStr">
        <is>
          <t xml:space="preserve">2026-08-14</t>
        </is>
      </c>
      <c r="N294" t="inlineStr">
        <is>
          <t xml:space="preserve">2029-06-30</t>
        </is>
      </c>
      <c r="O294" t="inlineStr">
        <is>
          <t xml:space="preserve"/>
        </is>
      </c>
      <c r="P294" s="3" t="str">
        <f>HYPERLINK("https://reporter.nih.gov/project-details/11444480","https://reporter.nih.gov/project-details/11444480")</f>
        <v>https://reporter.nih.gov/project-details/11444480</v>
      </c>
    </row>
    <row r="295">
      <c r="A295" t="inlineStr">
        <is>
          <t xml:space="preserve">2026-08-14</t>
        </is>
      </c>
      <c r="B295" t="inlineStr">
        <is>
          <t xml:space="preserve">1R21DC023378-01A1</t>
        </is>
      </c>
      <c r="C295" t="inlineStr">
        <is>
          <t xml:space="preserve">Information and Practice Needs Relevant to Young Autistic Children: Examining Social Media as an Information Source for Speech-Language Pathologists and Parents</t>
        </is>
      </c>
      <c r="D295" t="inlineStr">
        <is>
          <t xml:space="preserve">Courtney E Venker</t>
        </is>
      </c>
      <c r="E295" t="inlineStr">
        <is>
          <t xml:space="preserve">Courtney E Venker</t>
        </is>
      </c>
      <c r="F295" t="inlineStr">
        <is>
          <t xml:space="preserve">MICHIGAN STATE UNIVERSITY</t>
        </is>
      </c>
      <c r="G295" t="inlineStr">
        <is>
          <t xml:space="preserve">EAST LANSING</t>
        </is>
      </c>
      <c r="H295" t="inlineStr">
        <is>
          <t xml:space="preserve">MI</t>
        </is>
      </c>
      <c r="I295" t="inlineStr">
        <is>
          <t xml:space="preserve">NIDCD</t>
        </is>
      </c>
      <c r="J295" t="inlineStr">
        <is>
          <t xml:space="preserve">National Institute on Deafness and Other Communication Disorders</t>
        </is>
      </c>
      <c r="K295" t="inlineStr">
        <is>
          <t xml:space="preserve">2026</t>
        </is>
      </c>
      <c r="L295" t="inlineStr">
        <is>
          <t xml:space="preserve">426540</t>
        </is>
      </c>
      <c r="M295" t="inlineStr">
        <is>
          <t xml:space="preserve">2026-08-15</t>
        </is>
      </c>
      <c r="N295" t="inlineStr">
        <is>
          <t xml:space="preserve">2028-07-30</t>
        </is>
      </c>
      <c r="O295" t="inlineStr">
        <is>
          <t xml:space="preserve">Device / stimulation, Behavioral</t>
        </is>
      </c>
      <c r="P295" s="3" t="str">
        <f>HYPERLINK("https://reporter.nih.gov/project-details/11452950","https://reporter.nih.gov/project-details/11452950")</f>
        <v>https://reporter.nih.gov/project-details/11452950</v>
      </c>
    </row>
    <row r="296">
      <c r="A296" t="inlineStr">
        <is>
          <t xml:space="preserve">2026-08-14</t>
        </is>
      </c>
      <c r="B296" t="inlineStr">
        <is>
          <t xml:space="preserve">5K01AG084878-03</t>
        </is>
      </c>
      <c r="C296" t="inlineStr">
        <is>
          <t xml:space="preserve">Competence, Autonomy, Relatedness, and Connections (CARe Connections): A Peer-Led Intervention Designed with Parkinsons Disease &amp; Related Disorders Carepartners to Improve Holistic Support</t>
        </is>
      </c>
      <c r="D296" t="inlineStr">
        <is>
          <t xml:space="preserve">Sandhya Seshadri</t>
        </is>
      </c>
      <c r="E296" t="inlineStr">
        <is>
          <t xml:space="preserve">Sandhya Seshadri</t>
        </is>
      </c>
      <c r="F296" t="inlineStr">
        <is>
          <t xml:space="preserve">UNIVERSITY OF ROCHESTER</t>
        </is>
      </c>
      <c r="G296" t="inlineStr">
        <is>
          <t xml:space="preserve">ROCHESTER</t>
        </is>
      </c>
      <c r="H296" t="inlineStr">
        <is>
          <t xml:space="preserve">NY</t>
        </is>
      </c>
      <c r="I296" t="inlineStr">
        <is>
          <t xml:space="preserve">NIA</t>
        </is>
      </c>
      <c r="J296" t="inlineStr">
        <is>
          <t xml:space="preserve">National Institute on Aging</t>
        </is>
      </c>
      <c r="K296" t="inlineStr">
        <is>
          <t xml:space="preserve">2026</t>
        </is>
      </c>
      <c r="L296" t="inlineStr">
        <is>
          <t xml:space="preserve">108593</t>
        </is>
      </c>
      <c r="M296" t="inlineStr">
        <is>
          <t xml:space="preserve">2024-09-01</t>
        </is>
      </c>
      <c r="N296" t="inlineStr">
        <is>
          <t xml:space="preserve">2029-06-30</t>
        </is>
      </c>
      <c r="O296" t="inlineStr">
        <is>
          <t xml:space="preserve"/>
        </is>
      </c>
      <c r="P296" s="3" t="str">
        <f>HYPERLINK("https://reporter.nih.gov/project-details/11411331","https://reporter.nih.gov/project-details/11411331")</f>
        <v>https://reporter.nih.gov/project-details/11411331</v>
      </c>
    </row>
    <row r="297">
      <c r="A297" t="inlineStr">
        <is>
          <t xml:space="preserve">2026-08-14</t>
        </is>
      </c>
      <c r="B297" t="inlineStr">
        <is>
          <t xml:space="preserve">5R01HG014490-02</t>
        </is>
      </c>
      <c r="C297" t="inlineStr">
        <is>
          <t xml:space="preserve">New methods for studying thousands of complete human and vertebrate genomes</t>
        </is>
      </c>
      <c r="D297" t="inlineStr">
        <is>
          <t xml:space="preserve">Benedict Paten</t>
        </is>
      </c>
      <c r="E297" t="inlineStr">
        <is>
          <t xml:space="preserve">Benedict Paten; Yatish Turakhia</t>
        </is>
      </c>
      <c r="F297" t="inlineStr">
        <is>
          <t xml:space="preserve">UNIVERSITY OF CALIFORNIA SANTA CRUZ</t>
        </is>
      </c>
      <c r="G297" t="inlineStr">
        <is>
          <t xml:space="preserve">SANTA CRUZ</t>
        </is>
      </c>
      <c r="H297" t="inlineStr">
        <is>
          <t xml:space="preserve">CA</t>
        </is>
      </c>
      <c r="I297" t="inlineStr">
        <is>
          <t xml:space="preserve">NHGRI</t>
        </is>
      </c>
      <c r="J297" t="inlineStr">
        <is>
          <t xml:space="preserve">National Human Genome Research Institute</t>
        </is>
      </c>
      <c r="K297" t="inlineStr">
        <is>
          <t xml:space="preserve">2026</t>
        </is>
      </c>
      <c r="L297" t="inlineStr">
        <is>
          <t xml:space="preserve">610815</t>
        </is>
      </c>
      <c r="M297" t="inlineStr">
        <is>
          <t xml:space="preserve">2025-09-26</t>
        </is>
      </c>
      <c r="N297" t="inlineStr">
        <is>
          <t xml:space="preserve">2029-06-30</t>
        </is>
      </c>
      <c r="O297" t="inlineStr">
        <is>
          <t xml:space="preserve"/>
        </is>
      </c>
      <c r="P297" s="3" t="str">
        <f>HYPERLINK("https://reporter.nih.gov/project-details/11423699","https://reporter.nih.gov/project-details/11423699")</f>
        <v>https://reporter.nih.gov/project-details/11423699</v>
      </c>
    </row>
    <row r="298">
      <c r="A298" t="inlineStr">
        <is>
          <t xml:space="preserve">2026-08-14</t>
        </is>
      </c>
      <c r="B298" t="inlineStr">
        <is>
          <t xml:space="preserve">5T32MH073517-20</t>
        </is>
      </c>
      <c r="C298" t="inlineStr">
        <is>
          <t xml:space="preserve">Training the Science of Child Mental Health Treatment</t>
        </is>
      </c>
      <c r="D298" t="inlineStr">
        <is>
          <t xml:space="preserve">John C. Piacentini</t>
        </is>
      </c>
      <c r="E298" t="inlineStr">
        <is>
          <t xml:space="preserve">SUMA JACOB; John C. Piacentini</t>
        </is>
      </c>
      <c r="F298" t="inlineStr">
        <is>
          <t xml:space="preserve">UNIVERSITY OF CALIFORNIA LOS ANGELES</t>
        </is>
      </c>
      <c r="G298" t="inlineStr">
        <is>
          <t xml:space="preserve">LOS ANGELES</t>
        </is>
      </c>
      <c r="H298" t="inlineStr">
        <is>
          <t xml:space="preserve">CA</t>
        </is>
      </c>
      <c r="I298" t="inlineStr">
        <is>
          <t xml:space="preserve">NIMH</t>
        </is>
      </c>
      <c r="J298" t="inlineStr">
        <is>
          <t xml:space="preserve">National Institute of Mental Health</t>
        </is>
      </c>
      <c r="K298" t="inlineStr">
        <is>
          <t xml:space="preserve">2026</t>
        </is>
      </c>
      <c r="L298" t="inlineStr">
        <is>
          <t xml:space="preserve">335485</t>
        </is>
      </c>
      <c r="M298" t="inlineStr">
        <is>
          <t xml:space="preserve">2006-06-01</t>
        </is>
      </c>
      <c r="N298" t="inlineStr">
        <is>
          <t xml:space="preserve">2027-08-31</t>
        </is>
      </c>
      <c r="O298" t="inlineStr">
        <is>
          <t xml:space="preserve"/>
        </is>
      </c>
      <c r="P298" s="3" t="str">
        <f>HYPERLINK("https://reporter.nih.gov/project-details/11402749","https://reporter.nih.gov/project-details/11402749")</f>
        <v>https://reporter.nih.gov/project-details/11402749</v>
      </c>
    </row>
    <row r="299">
      <c r="A299" t="inlineStr">
        <is>
          <t xml:space="preserve">2026-08-14</t>
        </is>
      </c>
      <c r="B299" t="inlineStr">
        <is>
          <t xml:space="preserve">5R35NS143046-02</t>
        </is>
      </c>
      <c r="C299" t="inlineStr">
        <is>
          <t xml:space="preserve">Mechanisms of focal epileptogenesis in mTORopathies</t>
        </is>
      </c>
      <c r="D299" t="inlineStr">
        <is>
          <t xml:space="preserve">Steve C Danzer</t>
        </is>
      </c>
      <c r="E299" t="inlineStr">
        <is>
          <t xml:space="preserve">Steve C Danzer</t>
        </is>
      </c>
      <c r="F299" t="inlineStr">
        <is>
          <t xml:space="preserve">CINCINNATI CHILDRENS HOSP MED CTR</t>
        </is>
      </c>
      <c r="G299" t="inlineStr">
        <is>
          <t xml:space="preserve">CINCINNATI</t>
        </is>
      </c>
      <c r="H299" t="inlineStr">
        <is>
          <t xml:space="preserve">OH</t>
        </is>
      </c>
      <c r="I299" t="inlineStr">
        <is>
          <t xml:space="preserve">NINDS</t>
        </is>
      </c>
      <c r="J299" t="inlineStr">
        <is>
          <t xml:space="preserve">National Institute of Neurological Disorders and Stroke</t>
        </is>
      </c>
      <c r="K299" t="inlineStr">
        <is>
          <t xml:space="preserve">2026</t>
        </is>
      </c>
      <c r="L299" t="inlineStr">
        <is>
          <t xml:space="preserve">870682</t>
        </is>
      </c>
      <c r="M299" t="inlineStr">
        <is>
          <t xml:space="preserve">2025-09-11</t>
        </is>
      </c>
      <c r="N299" t="inlineStr">
        <is>
          <t xml:space="preserve">2033-08-31</t>
        </is>
      </c>
      <c r="O299" t="inlineStr">
        <is>
          <t xml:space="preserve">Gene therapy, Viral vector, Small molecule</t>
        </is>
      </c>
      <c r="P299" s="3" t="str">
        <f>HYPERLINK("https://reporter.nih.gov/project-details/11414964","https://reporter.nih.gov/project-details/11414964")</f>
        <v>https://reporter.nih.gov/project-details/11414964</v>
      </c>
    </row>
    <row r="300">
      <c r="A300" t="inlineStr">
        <is>
          <t xml:space="preserve">2026-08-14</t>
        </is>
      </c>
      <c r="B300" t="inlineStr">
        <is>
          <t xml:space="preserve">1F31HD123896-01</t>
        </is>
      </c>
      <c r="C300" t="inlineStr">
        <is>
          <t xml:space="preserve">Leader - Follower Dynamics of Collective Cell Migration in Organogenesis</t>
        </is>
      </c>
      <c r="D300" t="inlineStr">
        <is>
          <t xml:space="preserve">Jacqueline McVay</t>
        </is>
      </c>
      <c r="E300" t="inlineStr">
        <is>
          <t xml:space="preserve">Jacqueline McVay</t>
        </is>
      </c>
      <c r="F300" t="inlineStr">
        <is>
          <t xml:space="preserve">OREGON HEALTH &amp; SCIENCE UNIVERSITY</t>
        </is>
      </c>
      <c r="G300" t="inlineStr">
        <is>
          <t xml:space="preserve">PORTLAND</t>
        </is>
      </c>
      <c r="H300" t="inlineStr">
        <is>
          <t xml:space="preserve">OR</t>
        </is>
      </c>
      <c r="I300" t="inlineStr">
        <is>
          <t xml:space="preserve">NICHD</t>
        </is>
      </c>
      <c r="J300" t="inlineStr">
        <is>
          <t xml:space="preserve">Eunice Kennedy Shriver National Institute of Child Health and Human Development</t>
        </is>
      </c>
      <c r="K300" t="inlineStr">
        <is>
          <t xml:space="preserve">2026</t>
        </is>
      </c>
      <c r="L300" t="inlineStr">
        <is>
          <t xml:space="preserve">50114</t>
        </is>
      </c>
      <c r="M300" t="inlineStr">
        <is>
          <t xml:space="preserve">2026-09-01</t>
        </is>
      </c>
      <c r="N300" t="inlineStr">
        <is>
          <t xml:space="preserve">2029-08-31</t>
        </is>
      </c>
      <c r="O300" t="inlineStr">
        <is>
          <t xml:space="preserve">Gene therapy</t>
        </is>
      </c>
      <c r="P300" s="3" t="str">
        <f>HYPERLINK("https://reporter.nih.gov/project-details/11461500","https://reporter.nih.gov/project-details/11461500")</f>
        <v>https://reporter.nih.gov/project-details/11461500</v>
      </c>
    </row>
    <row r="301">
      <c r="A301" t="inlineStr">
        <is>
          <t xml:space="preserve">2026-08-14</t>
        </is>
      </c>
      <c r="B301" t="inlineStr">
        <is>
          <t xml:space="preserve">1K99NS138684-01A1</t>
        </is>
      </c>
      <c r="C301" t="inlineStr">
        <is>
          <t xml:space="preserve">Role of microglia in cortical interneuron development in genetic and environmental disruptions associated with autism spectrum disorder</t>
        </is>
      </c>
      <c r="D301" t="inlineStr">
        <is>
          <t xml:space="preserve">Samhita Jain</t>
        </is>
      </c>
      <c r="E301" t="inlineStr">
        <is>
          <t xml:space="preserve">Samhita Jain</t>
        </is>
      </c>
      <c r="F301" t="inlineStr">
        <is>
          <t xml:space="preserve">UNIVERSITY OF CALIFORNIA, SAN FRANCISCO</t>
        </is>
      </c>
      <c r="G301" t="inlineStr">
        <is>
          <t xml:space="preserve">SAN FRANCISCO</t>
        </is>
      </c>
      <c r="H301" t="inlineStr">
        <is>
          <t xml:space="preserve">CA</t>
        </is>
      </c>
      <c r="I301" t="inlineStr">
        <is>
          <t xml:space="preserve">NINDS</t>
        </is>
      </c>
      <c r="J301" t="inlineStr">
        <is>
          <t xml:space="preserve">National Institute of Neurological Disorders and Stroke</t>
        </is>
      </c>
      <c r="K301" t="inlineStr">
        <is>
          <t xml:space="preserve">2026</t>
        </is>
      </c>
      <c r="L301" t="inlineStr">
        <is>
          <t xml:space="preserve">205200</t>
        </is>
      </c>
      <c r="M301" t="inlineStr">
        <is>
          <t xml:space="preserve">2026-08-15</t>
        </is>
      </c>
      <c r="N301" t="inlineStr">
        <is>
          <t xml:space="preserve">2028-08-31</t>
        </is>
      </c>
      <c r="O301" t="inlineStr">
        <is>
          <t xml:space="preserve">Gene therapy, Small molecule</t>
        </is>
      </c>
      <c r="P301" s="3" t="str">
        <f>HYPERLINK("https://reporter.nih.gov/project-details/11372364","https://reporter.nih.gov/project-details/11372364")</f>
        <v>https://reporter.nih.gov/project-details/11372364</v>
      </c>
    </row>
    <row r="302">
      <c r="A302" t="inlineStr">
        <is>
          <t xml:space="preserve">2026-08-13</t>
        </is>
      </c>
      <c r="B302" t="inlineStr">
        <is>
          <t xml:space="preserve">5K23HD113822-03</t>
        </is>
      </c>
      <c r="C302" t="inlineStr">
        <is>
          <t xml:space="preserve">Examining Mechanisms of Challenging Eating Behaviors in Children with Autism Using a Biopsychosocial Approach.</t>
        </is>
      </c>
      <c r="D302" t="inlineStr">
        <is>
          <t xml:space="preserve">Anna Wallisch</t>
        </is>
      </c>
      <c r="E302" t="inlineStr">
        <is>
          <t xml:space="preserve">Anna Wallisch</t>
        </is>
      </c>
      <c r="F302" t="inlineStr">
        <is>
          <t xml:space="preserve">UNIVERSITY OF KANSAS MEDICAL CENTER</t>
        </is>
      </c>
      <c r="G302" t="inlineStr">
        <is>
          <t xml:space="preserve">KANSAS CITY</t>
        </is>
      </c>
      <c r="H302" t="inlineStr">
        <is>
          <t xml:space="preserve">KS</t>
        </is>
      </c>
      <c r="I302" t="inlineStr">
        <is>
          <t xml:space="preserve">NICHD</t>
        </is>
      </c>
      <c r="J302" t="inlineStr">
        <is>
          <t xml:space="preserve">Eunice Kennedy Shriver National Institute of Child Health and Human Development</t>
        </is>
      </c>
      <c r="K302" t="inlineStr">
        <is>
          <t xml:space="preserve">2026</t>
        </is>
      </c>
      <c r="L302" t="inlineStr">
        <is>
          <t xml:space="preserve">165240</t>
        </is>
      </c>
      <c r="M302" t="inlineStr">
        <is>
          <t xml:space="preserve">2024-08-01</t>
        </is>
      </c>
      <c r="N302" t="inlineStr">
        <is>
          <t xml:space="preserve">2028-07-31</t>
        </is>
      </c>
      <c r="O302" t="inlineStr">
        <is>
          <t xml:space="preserve"/>
        </is>
      </c>
      <c r="P302" s="3" t="str">
        <f>HYPERLINK("https://reporter.nih.gov/project-details/11380026","https://reporter.nih.gov/project-details/11380026")</f>
        <v>https://reporter.nih.gov/project-details/11380026</v>
      </c>
    </row>
    <row r="303">
      <c r="A303" t="inlineStr">
        <is>
          <t xml:space="preserve">2026-08-13</t>
        </is>
      </c>
      <c r="B303" t="inlineStr">
        <is>
          <t xml:space="preserve">1K99NS146559-01A1</t>
        </is>
      </c>
      <c r="C303" t="inlineStr">
        <is>
          <t xml:space="preserve">Functional specializations of cerebellar interneuron subtypes</t>
        </is>
      </c>
      <c r="D303" t="inlineStr">
        <is>
          <t xml:space="preserve">Elizabeth Lackey</t>
        </is>
      </c>
      <c r="E303" t="inlineStr">
        <is>
          <t xml:space="preserve">Elizabeth Lackey</t>
        </is>
      </c>
      <c r="F303" t="inlineStr">
        <is>
          <t xml:space="preserve">HARVARD MEDICAL SCHOOL</t>
        </is>
      </c>
      <c r="G303" t="inlineStr">
        <is>
          <t xml:space="preserve">BOSTON</t>
        </is>
      </c>
      <c r="H303" t="inlineStr">
        <is>
          <t xml:space="preserve">MA</t>
        </is>
      </c>
      <c r="I303" t="inlineStr">
        <is>
          <t xml:space="preserve">NINDS</t>
        </is>
      </c>
      <c r="J303" t="inlineStr">
        <is>
          <t xml:space="preserve">National Institute of Neurological Disorders and Stroke</t>
        </is>
      </c>
      <c r="K303" t="inlineStr">
        <is>
          <t xml:space="preserve">2026</t>
        </is>
      </c>
      <c r="L303" t="inlineStr">
        <is>
          <t xml:space="preserve">120582</t>
        </is>
      </c>
      <c r="M303" t="inlineStr">
        <is>
          <t xml:space="preserve">2026-08-15</t>
        </is>
      </c>
      <c r="N303" t="inlineStr">
        <is>
          <t xml:space="preserve">2028-07-31</t>
        </is>
      </c>
      <c r="O303" t="inlineStr">
        <is>
          <t xml:space="preserve"/>
        </is>
      </c>
      <c r="P303" s="3" t="str">
        <f>HYPERLINK("https://reporter.nih.gov/project-details/11452151","https://reporter.nih.gov/project-details/11452151")</f>
        <v>https://reporter.nih.gov/project-details/11452151</v>
      </c>
    </row>
    <row r="304">
      <c r="A304" t="inlineStr">
        <is>
          <t xml:space="preserve">2026-08-13</t>
        </is>
      </c>
      <c r="B304" t="inlineStr">
        <is>
          <t xml:space="preserve">5K23HD112507-04</t>
        </is>
      </c>
      <c r="C304" t="inlineStr">
        <is>
          <t xml:space="preserve">Towards equitable early identification of autism spectrum disorders in females</t>
        </is>
      </c>
      <c r="D304" t="inlineStr">
        <is>
          <t xml:space="preserve">Catherine Ann Burrows</t>
        </is>
      </c>
      <c r="E304" t="inlineStr">
        <is>
          <t xml:space="preserve">Catherine Ann Burrows</t>
        </is>
      </c>
      <c r="F304" t="inlineStr">
        <is>
          <t xml:space="preserve">UNIVERSITY OF MINNESOTA</t>
        </is>
      </c>
      <c r="G304" t="inlineStr">
        <is>
          <t xml:space="preserve">MINNEAPOLIS</t>
        </is>
      </c>
      <c r="H304" t="inlineStr">
        <is>
          <t xml:space="preserve">MN</t>
        </is>
      </c>
      <c r="I304" t="inlineStr">
        <is>
          <t xml:space="preserve">NICHD</t>
        </is>
      </c>
      <c r="J304" t="inlineStr">
        <is>
          <t xml:space="preserve">Eunice Kennedy Shriver National Institute of Child Health and Human Development</t>
        </is>
      </c>
      <c r="K304" t="inlineStr">
        <is>
          <t xml:space="preserve">2026</t>
        </is>
      </c>
      <c r="L304" t="inlineStr">
        <is>
          <t xml:space="preserve">78939</t>
        </is>
      </c>
      <c r="M304" t="inlineStr">
        <is>
          <t xml:space="preserve">2023-08-11</t>
        </is>
      </c>
      <c r="N304" t="inlineStr">
        <is>
          <t xml:space="preserve">2026-12-31</t>
        </is>
      </c>
      <c r="O304" t="inlineStr">
        <is>
          <t xml:space="preserve">Behavioral</t>
        </is>
      </c>
      <c r="P304" s="3" t="str">
        <f>HYPERLINK("https://reporter.nih.gov/project-details/11375180","https://reporter.nih.gov/project-details/11375180")</f>
        <v>https://reporter.nih.gov/project-details/11375180</v>
      </c>
    </row>
    <row r="305">
      <c r="A305" t="inlineStr">
        <is>
          <t xml:space="preserve">2026-08-13</t>
        </is>
      </c>
      <c r="B305" t="inlineStr">
        <is>
          <t xml:space="preserve">1R34AT012927-01A1</t>
        </is>
      </c>
      <c r="C305" t="inlineStr">
        <is>
          <t xml:space="preserve">Standardized Tunable Music Medicine for Depression (STAMM-D): Development &amp; Feasibility</t>
        </is>
      </c>
      <c r="D305" t="inlineStr">
        <is>
          <t xml:space="preserve">Daniel Liu Bowling</t>
        </is>
      </c>
      <c r="E305" t="inlineStr">
        <is>
          <t xml:space="preserve">Daniel Liu Bowling</t>
        </is>
      </c>
      <c r="F305" t="inlineStr">
        <is>
          <t xml:space="preserve">STANFORD UNIVERSITY</t>
        </is>
      </c>
      <c r="G305" t="inlineStr">
        <is>
          <t xml:space="preserve">STANFORD</t>
        </is>
      </c>
      <c r="H305" t="inlineStr">
        <is>
          <t xml:space="preserve">CA</t>
        </is>
      </c>
      <c r="I305" t="inlineStr">
        <is>
          <t xml:space="preserve">NCCIH</t>
        </is>
      </c>
      <c r="J305" t="inlineStr">
        <is>
          <t xml:space="preserve">National Center for Complementary and Integrative Health</t>
        </is>
      </c>
      <c r="K305" t="inlineStr">
        <is>
          <t xml:space="preserve">2026</t>
        </is>
      </c>
      <c r="L305" t="inlineStr">
        <is>
          <t xml:space="preserve">154000</t>
        </is>
      </c>
      <c r="M305" t="inlineStr">
        <is>
          <t xml:space="preserve">2026-08-11</t>
        </is>
      </c>
      <c r="N305" t="inlineStr">
        <is>
          <t xml:space="preserve">2029-05-31</t>
        </is>
      </c>
      <c r="O305" t="inlineStr">
        <is>
          <t xml:space="preserve">Behavioral</t>
        </is>
      </c>
      <c r="P305" s="3" t="str">
        <f>HYPERLINK("https://reporter.nih.gov/project-details/11219674","https://reporter.nih.gov/project-details/11219674")</f>
        <v>https://reporter.nih.gov/project-details/11219674</v>
      </c>
    </row>
    <row r="306">
      <c r="A306" t="inlineStr">
        <is>
          <t xml:space="preserve">2026-08-13</t>
        </is>
      </c>
      <c r="B306" t="inlineStr">
        <is>
          <t xml:space="preserve">3R01MH133621-04S1</t>
        </is>
      </c>
      <c r="C306" t="inlineStr">
        <is>
          <t xml:space="preserve">Genetic Architecture of Early-Onset Psychosis in Mexicans (EPIMex)</t>
        </is>
      </c>
      <c r="D306" t="inlineStr">
        <is>
          <t xml:space="preserve">DAVID C GLAHN</t>
        </is>
      </c>
      <c r="E306" t="inlineStr">
        <is>
          <t xml:space="preserve">Laura A. Almasy; Carlos Daniel Bustamante; DAVID C GLAHN; Humberto Nicolini</t>
        </is>
      </c>
      <c r="F306" t="inlineStr">
        <is>
          <t xml:space="preserve">BOSTON CHILDREN'S HOSPITAL</t>
        </is>
      </c>
      <c r="G306" t="inlineStr">
        <is>
          <t xml:space="preserve">BOSTON</t>
        </is>
      </c>
      <c r="H306" t="inlineStr">
        <is>
          <t xml:space="preserve">MA</t>
        </is>
      </c>
      <c r="I306" t="inlineStr">
        <is>
          <t xml:space="preserve">NIMH</t>
        </is>
      </c>
      <c r="J306" t="inlineStr">
        <is>
          <t xml:space="preserve">National Institute of Mental Health</t>
        </is>
      </c>
      <c r="K306" t="inlineStr">
        <is>
          <t xml:space="preserve">2026</t>
        </is>
      </c>
      <c r="L306" t="inlineStr">
        <is>
          <t xml:space="preserve">492188</t>
        </is>
      </c>
      <c r="M306" t="inlineStr">
        <is>
          <t xml:space="preserve">2023-07-14</t>
        </is>
      </c>
      <c r="N306" t="inlineStr">
        <is>
          <t xml:space="preserve">2028-05-31</t>
        </is>
      </c>
      <c r="O306" t="inlineStr">
        <is>
          <t xml:space="preserve"/>
        </is>
      </c>
      <c r="P306" s="3" t="str">
        <f>HYPERLINK("https://reporter.nih.gov/project-details/11554752","https://reporter.nih.gov/project-details/11554752")</f>
        <v>https://reporter.nih.gov/project-details/11554752</v>
      </c>
    </row>
    <row r="307">
      <c r="A307" t="inlineStr">
        <is>
          <t xml:space="preserve">2026-08-13</t>
        </is>
      </c>
      <c r="B307" t="inlineStr">
        <is>
          <t xml:space="preserve">5R01HD111256-05</t>
        </is>
      </c>
      <c r="C307" t="inlineStr">
        <is>
          <t xml:space="preserve">Regulation of DNA methylation by TETs and QSER1</t>
        </is>
      </c>
      <c r="D307" t="inlineStr">
        <is>
          <t xml:space="preserve">Todd R Evans</t>
        </is>
      </c>
      <c r="E307" t="inlineStr">
        <is>
          <t xml:space="preserve">Todd R Evans; Danwei Huangfu</t>
        </is>
      </c>
      <c r="F307" t="inlineStr">
        <is>
          <t xml:space="preserve">WEILL MEDICAL COLL OF CORNELL UNIV</t>
        </is>
      </c>
      <c r="G307" t="inlineStr">
        <is>
          <t xml:space="preserve">NEW YORK</t>
        </is>
      </c>
      <c r="H307" t="inlineStr">
        <is>
          <t xml:space="preserve">NY</t>
        </is>
      </c>
      <c r="I307" t="inlineStr">
        <is>
          <t xml:space="preserve">NICHD</t>
        </is>
      </c>
      <c r="J307" t="inlineStr">
        <is>
          <t xml:space="preserve">Eunice Kennedy Shriver National Institute of Child Health and Human Development</t>
        </is>
      </c>
      <c r="K307" t="inlineStr">
        <is>
          <t xml:space="preserve">2026</t>
        </is>
      </c>
      <c r="L307" t="inlineStr">
        <is>
          <t xml:space="preserve">671048</t>
        </is>
      </c>
      <c r="M307" t="inlineStr">
        <is>
          <t xml:space="preserve">2022-09-22</t>
        </is>
      </c>
      <c r="N307" t="inlineStr">
        <is>
          <t xml:space="preserve">2027-08-31</t>
        </is>
      </c>
      <c r="O307" t="inlineStr">
        <is>
          <t xml:space="preserve">Gene therapy</t>
        </is>
      </c>
      <c r="P307" s="3" t="str">
        <f>HYPERLINK("https://reporter.nih.gov/project-details/11384239","https://reporter.nih.gov/project-details/11384239")</f>
        <v>https://reporter.nih.gov/project-details/11384239</v>
      </c>
    </row>
    <row r="308">
      <c r="A308" t="inlineStr">
        <is>
          <t xml:space="preserve">2026-08-13</t>
        </is>
      </c>
      <c r="B308" t="inlineStr">
        <is>
          <t xml:space="preserve">5R01HD113534-03</t>
        </is>
      </c>
      <c r="C308" t="inlineStr">
        <is>
          <t xml:space="preserve">Achieving Independence and Mastery in Schools – An RCT for Middle-Schoolers with Autism</t>
        </is>
      </c>
      <c r="D308" t="inlineStr">
        <is>
          <t xml:space="preserve">LEANNE TAMM</t>
        </is>
      </c>
      <c r="E308" t="inlineStr">
        <is>
          <t xml:space="preserve">Amie Marie Duncan; LEANNE TAMM</t>
        </is>
      </c>
      <c r="F308" t="inlineStr">
        <is>
          <t xml:space="preserve">CINCINNATI CHILDRENS HOSP MED CTR</t>
        </is>
      </c>
      <c r="G308" t="inlineStr">
        <is>
          <t xml:space="preserve">CINCINNATI</t>
        </is>
      </c>
      <c r="H308" t="inlineStr">
        <is>
          <t xml:space="preserve">OH</t>
        </is>
      </c>
      <c r="I308" t="inlineStr">
        <is>
          <t xml:space="preserve">NICHD</t>
        </is>
      </c>
      <c r="J308" t="inlineStr">
        <is>
          <t xml:space="preserve">Eunice Kennedy Shriver National Institute of Child Health and Human Development</t>
        </is>
      </c>
      <c r="K308" t="inlineStr">
        <is>
          <t xml:space="preserve">2026</t>
        </is>
      </c>
      <c r="L308" t="inlineStr">
        <is>
          <t xml:space="preserve">670800</t>
        </is>
      </c>
      <c r="M308" t="inlineStr">
        <is>
          <t xml:space="preserve">2024-09-01</t>
        </is>
      </c>
      <c r="N308" t="inlineStr">
        <is>
          <t xml:space="preserve">2029-08-31</t>
        </is>
      </c>
      <c r="O308" t="inlineStr">
        <is>
          <t xml:space="preserve"/>
        </is>
      </c>
      <c r="P308" s="3" t="str">
        <f>HYPERLINK("https://reporter.nih.gov/project-details/11399819","https://reporter.nih.gov/project-details/11399819")</f>
        <v>https://reporter.nih.gov/project-details/11399819</v>
      </c>
    </row>
    <row r="309">
      <c r="A309" t="inlineStr">
        <is>
          <t xml:space="preserve">2026-08-13</t>
        </is>
      </c>
      <c r="B309" t="inlineStr">
        <is>
          <t xml:space="preserve">5R01HD092593-09</t>
        </is>
      </c>
      <c r="C309" t="inlineStr">
        <is>
          <t xml:space="preserve">Novel Roles of Placental Allopregnanolone in Brain Development and Injury</t>
        </is>
      </c>
      <c r="D309" t="inlineStr">
        <is>
          <t xml:space="preserve">ANNA A PENN</t>
        </is>
      </c>
      <c r="E309" t="inlineStr">
        <is>
          <t xml:space="preserve">ANNA A PENN</t>
        </is>
      </c>
      <c r="F309" t="inlineStr">
        <is>
          <t xml:space="preserve">COLUMBIA UNIVERSITY HEALTH SCIENCES</t>
        </is>
      </c>
      <c r="G309" t="inlineStr">
        <is>
          <t xml:space="preserve">NEW YORK</t>
        </is>
      </c>
      <c r="H309" t="inlineStr">
        <is>
          <t xml:space="preserve">NY</t>
        </is>
      </c>
      <c r="I309" t="inlineStr">
        <is>
          <t xml:space="preserve">NICHD</t>
        </is>
      </c>
      <c r="J309" t="inlineStr">
        <is>
          <t xml:space="preserve">Eunice Kennedy Shriver National Institute of Child Health and Human Development</t>
        </is>
      </c>
      <c r="K309" t="inlineStr">
        <is>
          <t xml:space="preserve">2026</t>
        </is>
      </c>
      <c r="L309" t="inlineStr">
        <is>
          <t xml:space="preserve">501250</t>
        </is>
      </c>
      <c r="M309" t="inlineStr">
        <is>
          <t xml:space="preserve">2017-08-08</t>
        </is>
      </c>
      <c r="N309" t="inlineStr">
        <is>
          <t xml:space="preserve">2028-08-31</t>
        </is>
      </c>
      <c r="O309" t="inlineStr">
        <is>
          <t xml:space="preserve">Small molecule</t>
        </is>
      </c>
      <c r="P309" s="3" t="str">
        <f>HYPERLINK("https://reporter.nih.gov/project-details/11384584","https://reporter.nih.gov/project-details/11384584")</f>
        <v>https://reporter.nih.gov/project-details/11384584</v>
      </c>
    </row>
    <row r="310">
      <c r="A310" t="inlineStr">
        <is>
          <t xml:space="preserve">2026-08-13</t>
        </is>
      </c>
      <c r="B310" t="inlineStr">
        <is>
          <t xml:space="preserve">5R13AA028176-06</t>
        </is>
      </c>
      <c r="C310" t="inlineStr">
        <is>
          <t xml:space="preserve">International Conferences on Fetal Alcohol Spectrum Disorders</t>
        </is>
      </c>
      <c r="D310" t="inlineStr">
        <is>
          <t xml:space="preserve">EDWARD P RILEY</t>
        </is>
      </c>
      <c r="E310" t="inlineStr">
        <is>
          <t xml:space="preserve">EDWARD P RILEY</t>
        </is>
      </c>
      <c r="F310" t="inlineStr">
        <is>
          <t xml:space="preserve">SAN DIEGO STATE UNIVERSITY</t>
        </is>
      </c>
      <c r="G310" t="inlineStr">
        <is>
          <t xml:space="preserve">SAN DIEGO</t>
        </is>
      </c>
      <c r="H310" t="inlineStr">
        <is>
          <t xml:space="preserve">CA</t>
        </is>
      </c>
      <c r="I310" t="inlineStr">
        <is>
          <t xml:space="preserve">NIAAA</t>
        </is>
      </c>
      <c r="J310" t="inlineStr">
        <is>
          <t xml:space="preserve">National Institute on Alcohol Abuse and Alcoholism</t>
        </is>
      </c>
      <c r="K310" t="inlineStr">
        <is>
          <t xml:space="preserve">2026</t>
        </is>
      </c>
      <c r="L310" t="inlineStr">
        <is>
          <t xml:space="preserve">25000</t>
        </is>
      </c>
      <c r="M310" t="inlineStr">
        <is>
          <t xml:space="preserve">2020-01-01</t>
        </is>
      </c>
      <c r="N310" t="inlineStr">
        <is>
          <t xml:space="preserve">2029-08-31</t>
        </is>
      </c>
      <c r="O310" t="inlineStr">
        <is>
          <t xml:space="preserve"/>
        </is>
      </c>
      <c r="P310" s="3" t="str">
        <f>HYPERLINK("https://reporter.nih.gov/project-details/11404940","https://reporter.nih.gov/project-details/11404940")</f>
        <v>https://reporter.nih.gov/project-details/11404940</v>
      </c>
    </row>
    <row r="311">
      <c r="A311" t="inlineStr">
        <is>
          <t xml:space="preserve">2026-08-13</t>
        </is>
      </c>
      <c r="B311" t="inlineStr">
        <is>
          <t xml:space="preserve">1R01MH144052-01</t>
        </is>
      </c>
      <c r="C311" t="inlineStr">
        <is>
          <t xml:space="preserve">Autism-Associated Synaptic Protein SYNGAP1 at the Cilium</t>
        </is>
      </c>
      <c r="D311" t="inlineStr">
        <is>
          <t xml:space="preserve">Helen Rankin Willsey</t>
        </is>
      </c>
      <c r="E311" t="inlineStr">
        <is>
          <t xml:space="preserve">Helen Rankin Willsey</t>
        </is>
      </c>
      <c r="F311" t="inlineStr">
        <is>
          <t xml:space="preserve">UNIVERSITY OF CALIFORNIA, SAN FRANCISCO</t>
        </is>
      </c>
      <c r="G311" t="inlineStr">
        <is>
          <t xml:space="preserve">SAN FRANCISCO</t>
        </is>
      </c>
      <c r="H311" t="inlineStr">
        <is>
          <t xml:space="preserve">CA</t>
        </is>
      </c>
      <c r="I311" t="inlineStr">
        <is>
          <t xml:space="preserve">NIMH</t>
        </is>
      </c>
      <c r="J311" t="inlineStr">
        <is>
          <t xml:space="preserve">National Institute of Mental Health</t>
        </is>
      </c>
      <c r="K311" t="inlineStr">
        <is>
          <t xml:space="preserve">2026</t>
        </is>
      </c>
      <c r="L311" t="inlineStr">
        <is>
          <t xml:space="preserve">568746</t>
        </is>
      </c>
      <c r="M311" t="inlineStr">
        <is>
          <t xml:space="preserve">2026-08-11</t>
        </is>
      </c>
      <c r="N311" t="inlineStr">
        <is>
          <t xml:space="preserve">2031-04-30</t>
        </is>
      </c>
      <c r="O311" t="inlineStr">
        <is>
          <t xml:space="preserve">Gene therapy, Small molecule</t>
        </is>
      </c>
      <c r="P311" s="3" t="str">
        <f>HYPERLINK("https://reporter.nih.gov/project-details/11346392","https://reporter.nih.gov/project-details/11346392")</f>
        <v>https://reporter.nih.gov/project-details/11346392</v>
      </c>
    </row>
    <row r="312">
      <c r="A312" t="inlineStr">
        <is>
          <t xml:space="preserve">2026-08-13</t>
        </is>
      </c>
      <c r="B312" t="inlineStr">
        <is>
          <t xml:space="preserve">3P50HD103524-05S2</t>
        </is>
      </c>
      <c r="C312" t="inlineStr">
        <is>
          <t xml:space="preserve">Intellectual and Developmental Disabilities Research Center</t>
        </is>
      </c>
      <c r="D312" t="inlineStr">
        <is>
          <t xml:space="preserve">Sandra E Juul</t>
        </is>
      </c>
      <c r="E312" t="inlineStr">
        <is>
          <t xml:space="preserve">Sandra E Juul</t>
        </is>
      </c>
      <c r="F312" t="inlineStr">
        <is>
          <t xml:space="preserve">UNIVERSITY OF WASHINGTON</t>
        </is>
      </c>
      <c r="G312" t="inlineStr">
        <is>
          <t xml:space="preserve">SEATTLE</t>
        </is>
      </c>
      <c r="H312" t="inlineStr">
        <is>
          <t xml:space="preserve">WA</t>
        </is>
      </c>
      <c r="I312" t="inlineStr">
        <is>
          <t xml:space="preserve">NICHD</t>
        </is>
      </c>
      <c r="J312" t="inlineStr">
        <is>
          <t xml:space="preserve">Eunice Kennedy Shriver National Institute of Child Health and Human Development</t>
        </is>
      </c>
      <c r="K312" t="inlineStr">
        <is>
          <t xml:space="preserve">2026</t>
        </is>
      </c>
      <c r="L312" t="inlineStr">
        <is>
          <t xml:space="preserve">1157700</t>
        </is>
      </c>
      <c r="M312" t="inlineStr">
        <is>
          <t xml:space="preserve">2026-06-01</t>
        </is>
      </c>
      <c r="N312" t="inlineStr">
        <is>
          <t xml:space="preserve">2027-05-31</t>
        </is>
      </c>
      <c r="O312" t="inlineStr">
        <is>
          <t xml:space="preserve">Gene therapy</t>
        </is>
      </c>
      <c r="P312" s="3" t="str">
        <f>HYPERLINK("https://reporter.nih.gov/project-details/11520615","https://reporter.nih.gov/project-details/11520615")</f>
        <v>https://reporter.nih.gov/project-details/11520615</v>
      </c>
    </row>
    <row r="313">
      <c r="A313" t="inlineStr">
        <is>
          <t xml:space="preserve">2026-08-13</t>
        </is>
      </c>
      <c r="B313" t="inlineStr">
        <is>
          <t xml:space="preserve">6U01DD001298-05M002</t>
        </is>
      </c>
      <c r="C313" t="inlineStr">
        <is>
          <t xml:space="preserve">Characterizing the Natural History of Fragile X Syndrome to Inform the Development of Intervention,Outcome Measures</t>
        </is>
      </c>
      <c r="D313" t="inlineStr">
        <is>
          <t xml:space="preserve">Elizabeth Mara Berry-Kravis</t>
        </is>
      </c>
      <c r="E313" t="inlineStr">
        <is>
          <t xml:space="preserve">Elizabeth Mara Berry-Kravis; Craig Erickson; Nicole Renee Tartaglia</t>
        </is>
      </c>
      <c r="F313" t="inlineStr">
        <is>
          <t xml:space="preserve">RUSH UNIVERSITY MEDICAL CENTER</t>
        </is>
      </c>
      <c r="G313" t="inlineStr">
        <is>
          <t xml:space="preserve">CHICAGO</t>
        </is>
      </c>
      <c r="H313" t="inlineStr">
        <is>
          <t xml:space="preserve">IL</t>
        </is>
      </c>
      <c r="I313" t="inlineStr">
        <is>
          <t xml:space="preserve">NCBDDD</t>
        </is>
      </c>
      <c r="J313" t="inlineStr">
        <is>
          <t xml:space="preserve">National Center on Birth Defects and Developmental Disabilities</t>
        </is>
      </c>
      <c r="K313" t="inlineStr">
        <is>
          <t xml:space="preserve">2025</t>
        </is>
      </c>
      <c r="L313" t="inlineStr">
        <is>
          <t xml:space="preserve">500000</t>
        </is>
      </c>
      <c r="M313" t="inlineStr">
        <is>
          <t xml:space="preserve">2021-09-01</t>
        </is>
      </c>
      <c r="N313" t="inlineStr">
        <is>
          <t xml:space="preserve">2027-06-30</t>
        </is>
      </c>
      <c r="O313" t="inlineStr">
        <is>
          <t xml:space="preserve"/>
        </is>
      </c>
      <c r="P313" s="3" t="str">
        <f>HYPERLINK("https://reporter.nih.gov/project-details/11623438","https://reporter.nih.gov/project-details/11623438")</f>
        <v>https://reporter.nih.gov/project-details/11623438</v>
      </c>
    </row>
    <row r="314">
      <c r="A314" t="inlineStr">
        <is>
          <t xml:space="preserve">2026-08-12</t>
        </is>
      </c>
      <c r="B314" t="inlineStr">
        <is>
          <t xml:space="preserve">5K01DK140611-02</t>
        </is>
      </c>
      <c r="C314" t="inlineStr">
        <is>
          <t xml:space="preserve">Investigating the Role of Chronic Stress and Camouflaging in Obesity Among Autistic Adolescents and Emerging Adults</t>
        </is>
      </c>
      <c r="D314" t="inlineStr">
        <is>
          <t xml:space="preserve">Emily R Hotez</t>
        </is>
      </c>
      <c r="E314" t="inlineStr">
        <is>
          <t xml:space="preserve">Emily R Hotez</t>
        </is>
      </c>
      <c r="F314" t="inlineStr">
        <is>
          <t xml:space="preserve">UNIVERSITY OF CALIFORNIA LOS ANGELES</t>
        </is>
      </c>
      <c r="G314" t="inlineStr">
        <is>
          <t xml:space="preserve">LOS ANGELES</t>
        </is>
      </c>
      <c r="H314" t="inlineStr">
        <is>
          <t xml:space="preserve">CA</t>
        </is>
      </c>
      <c r="I314" t="inlineStr">
        <is>
          <t xml:space="preserve">NIDDK</t>
        </is>
      </c>
      <c r="J314" t="inlineStr">
        <is>
          <t xml:space="preserve">National Institute of Diabetes and Digestive and Kidney Diseases</t>
        </is>
      </c>
      <c r="K314" t="inlineStr">
        <is>
          <t xml:space="preserve">2026</t>
        </is>
      </c>
      <c r="L314" t="inlineStr">
        <is>
          <t xml:space="preserve">155498</t>
        </is>
      </c>
      <c r="M314" t="inlineStr">
        <is>
          <t xml:space="preserve">2025-09-01</t>
        </is>
      </c>
      <c r="N314" t="inlineStr">
        <is>
          <t xml:space="preserve">2030-08-31</t>
        </is>
      </c>
      <c r="O314" t="inlineStr">
        <is>
          <t xml:space="preserve"/>
        </is>
      </c>
      <c r="P314" s="3" t="str">
        <f>HYPERLINK("https://reporter.nih.gov/project-details/11375017","https://reporter.nih.gov/project-details/11375017")</f>
        <v>https://reporter.nih.gov/project-details/11375017</v>
      </c>
    </row>
    <row r="315">
      <c r="A315" t="inlineStr">
        <is>
          <t xml:space="preserve">2026-08-12</t>
        </is>
      </c>
      <c r="B315" t="inlineStr">
        <is>
          <t xml:space="preserve">1R21AG119774-01A1</t>
        </is>
      </c>
      <c r="C315" t="inlineStr">
        <is>
          <t xml:space="preserve">PuzzleWalk 2.0: Advancing mobile health to promote brain training and physical activity for building cognitive reserve in adults with Down syndrome</t>
        </is>
      </c>
      <c r="D315" t="inlineStr">
        <is>
          <t xml:space="preserve">Brian Helsel</t>
        </is>
      </c>
      <c r="E315" t="inlineStr">
        <is>
          <t xml:space="preserve">Brian Helsel; Daehyoung Lee</t>
        </is>
      </c>
      <c r="F315" t="inlineStr">
        <is>
          <t xml:space="preserve">UNIVERSITY OF KANSAS MEDICAL CENTER</t>
        </is>
      </c>
      <c r="G315" t="inlineStr">
        <is>
          <t xml:space="preserve">KANSAS CITY</t>
        </is>
      </c>
      <c r="H315" t="inlineStr">
        <is>
          <t xml:space="preserve">KS</t>
        </is>
      </c>
      <c r="I315" t="inlineStr">
        <is>
          <t xml:space="preserve">NIA</t>
        </is>
      </c>
      <c r="J315" t="inlineStr">
        <is>
          <t xml:space="preserve">National Institute on Aging</t>
        </is>
      </c>
      <c r="K315" t="inlineStr">
        <is>
          <t xml:space="preserve">2026</t>
        </is>
      </c>
      <c r="L315" t="inlineStr">
        <is>
          <t xml:space="preserve">439467</t>
        </is>
      </c>
      <c r="M315" t="inlineStr">
        <is>
          <t xml:space="preserve">2026-08-15</t>
        </is>
      </c>
      <c r="N315" t="inlineStr">
        <is>
          <t xml:space="preserve">2028-07-31</t>
        </is>
      </c>
      <c r="O315" t="inlineStr">
        <is>
          <t xml:space="preserve">Peptide, Device / stimulation</t>
        </is>
      </c>
      <c r="P315" s="3" t="str">
        <f>HYPERLINK("https://reporter.nih.gov/project-details/11373972","https://reporter.nih.gov/project-details/11373972")</f>
        <v>https://reporter.nih.gov/project-details/11373972</v>
      </c>
    </row>
    <row r="316">
      <c r="A316" t="inlineStr">
        <is>
          <t xml:space="preserve">2026-08-12</t>
        </is>
      </c>
      <c r="B316" t="inlineStr">
        <is>
          <t xml:space="preserve">1R01NS146895-01A1</t>
        </is>
      </c>
      <c r="C316" t="inlineStr">
        <is>
          <t xml:space="preserve">How do astrocytes promote neuronal remodeling?</t>
        </is>
      </c>
      <c r="D316" t="inlineStr">
        <is>
          <t xml:space="preserve">Marc R Freeman</t>
        </is>
      </c>
      <c r="E316" t="inlineStr">
        <is>
          <t xml:space="preserve">Marc R Freeman</t>
        </is>
      </c>
      <c r="F316" t="inlineStr">
        <is>
          <t xml:space="preserve">OREGON HEALTH &amp; SCIENCE UNIVERSITY</t>
        </is>
      </c>
      <c r="G316" t="inlineStr">
        <is>
          <t xml:space="preserve">PORTLAND</t>
        </is>
      </c>
      <c r="H316" t="inlineStr">
        <is>
          <t xml:space="preserve">OR</t>
        </is>
      </c>
      <c r="I316" t="inlineStr">
        <is>
          <t xml:space="preserve">NINDS</t>
        </is>
      </c>
      <c r="J316" t="inlineStr">
        <is>
          <t xml:space="preserve">National Institute of Neurological Disorders and Stroke</t>
        </is>
      </c>
      <c r="K316" t="inlineStr">
        <is>
          <t xml:space="preserve">2026</t>
        </is>
      </c>
      <c r="L316" t="inlineStr">
        <is>
          <t xml:space="preserve">507491</t>
        </is>
      </c>
      <c r="M316" t="inlineStr">
        <is>
          <t xml:space="preserve">2026-08-12</t>
        </is>
      </c>
      <c r="N316" t="inlineStr">
        <is>
          <t xml:space="preserve">2031-07-31</t>
        </is>
      </c>
      <c r="O316" t="inlineStr">
        <is>
          <t xml:space="preserve">Antibody, Small molecule</t>
        </is>
      </c>
      <c r="P316" s="3" t="str">
        <f>HYPERLINK("https://reporter.nih.gov/project-details/11446875","https://reporter.nih.gov/project-details/11446875")</f>
        <v>https://reporter.nih.gov/project-details/11446875</v>
      </c>
    </row>
    <row r="317">
      <c r="A317" t="inlineStr">
        <is>
          <t xml:space="preserve">2026-08-12</t>
        </is>
      </c>
      <c r="B317" t="inlineStr">
        <is>
          <t xml:space="preserve">1R43DC023165-01A1</t>
        </is>
      </c>
      <c r="C317" t="inlineStr">
        <is>
          <t xml:space="preserve">Visual Play: An Interactive Play Idea and AAC Grid Generator to Assist in Behavioral Interventions for Minimally Verbal Autistic Children</t>
        </is>
      </c>
      <c r="D317" t="inlineStr">
        <is>
          <t xml:space="preserve">Julius Tsu-Li Su</t>
        </is>
      </c>
      <c r="E317" t="inlineStr">
        <is>
          <t xml:space="preserve">Julius Tsu-Li Su</t>
        </is>
      </c>
      <c r="F317" t="inlineStr">
        <is>
          <t xml:space="preserve">SU-KAM INTELLIGENT EDUCATION SYSTEMS, INC</t>
        </is>
      </c>
      <c r="G317" t="inlineStr">
        <is>
          <t xml:space="preserve">PASADENA</t>
        </is>
      </c>
      <c r="H317" t="inlineStr">
        <is>
          <t xml:space="preserve">CA</t>
        </is>
      </c>
      <c r="I317" t="inlineStr">
        <is>
          <t xml:space="preserve">NIDCD</t>
        </is>
      </c>
      <c r="J317" t="inlineStr">
        <is>
          <t xml:space="preserve">National Institute on Deafness and Other Communication Disorders</t>
        </is>
      </c>
      <c r="K317" t="inlineStr">
        <is>
          <t xml:space="preserve">2026</t>
        </is>
      </c>
      <c r="L317" t="inlineStr">
        <is>
          <t xml:space="preserve">314363</t>
        </is>
      </c>
      <c r="M317" t="inlineStr">
        <is>
          <t xml:space="preserve">2026-08-14</t>
        </is>
      </c>
      <c r="N317" t="inlineStr">
        <is>
          <t xml:space="preserve">2027-07-31</t>
        </is>
      </c>
      <c r="O317" t="inlineStr">
        <is>
          <t xml:space="preserve">Device / stimulation, Behavioral</t>
        </is>
      </c>
      <c r="P317" s="3" t="str">
        <f>HYPERLINK("https://reporter.nih.gov/project-details/11406559","https://reporter.nih.gov/project-details/11406559")</f>
        <v>https://reporter.nih.gov/project-details/11406559</v>
      </c>
    </row>
    <row r="318">
      <c r="A318" t="inlineStr">
        <is>
          <t xml:space="preserve">2026-08-12</t>
        </is>
      </c>
      <c r="B318" t="inlineStr">
        <is>
          <t xml:space="preserve">1S06GM164777-01</t>
        </is>
      </c>
      <c r="C318" t="inlineStr">
        <is>
          <t xml:space="preserve">Cherokee NARCH, Native American Research Centers for Health (NARCH)</t>
        </is>
      </c>
      <c r="D318" t="inlineStr">
        <is>
          <t xml:space="preserve">SOHAIL Imran KHAN</t>
        </is>
      </c>
      <c r="E318" t="inlineStr">
        <is>
          <t xml:space="preserve">SOHAIL Imran KHAN</t>
        </is>
      </c>
      <c r="F318" t="inlineStr">
        <is>
          <t xml:space="preserve">CHEROKEE NATION</t>
        </is>
      </c>
      <c r="G318" t="inlineStr">
        <is>
          <t xml:space="preserve">TAHLEQUAH</t>
        </is>
      </c>
      <c r="H318" t="inlineStr">
        <is>
          <t xml:space="preserve">OK</t>
        </is>
      </c>
      <c r="I318" t="inlineStr">
        <is>
          <t xml:space="preserve">NIGMS</t>
        </is>
      </c>
      <c r="J318" t="inlineStr">
        <is>
          <t xml:space="preserve">National Institute of General Medical Sciences</t>
        </is>
      </c>
      <c r="K318" t="inlineStr">
        <is>
          <t xml:space="preserve">2026</t>
        </is>
      </c>
      <c r="L318" t="inlineStr">
        <is>
          <t xml:space="preserve">990900</t>
        </is>
      </c>
      <c r="M318" t="inlineStr">
        <is>
          <t xml:space="preserve">2026-08-15</t>
        </is>
      </c>
      <c r="N318" t="inlineStr">
        <is>
          <t xml:space="preserve">2031-07-31</t>
        </is>
      </c>
      <c r="O318" t="inlineStr">
        <is>
          <t xml:space="preserve">Behavioral</t>
        </is>
      </c>
      <c r="P318" s="3" t="str">
        <f>HYPERLINK("https://reporter.nih.gov/project-details/11369408","https://reporter.nih.gov/project-details/11369408")</f>
        <v>https://reporter.nih.gov/project-details/11369408</v>
      </c>
    </row>
    <row r="319">
      <c r="A319" t="inlineStr">
        <is>
          <t xml:space="preserve">2026-08-12</t>
        </is>
      </c>
      <c r="B319" t="inlineStr">
        <is>
          <t xml:space="preserve">5R35GM146782-05</t>
        </is>
      </c>
      <c r="C319" t="inlineStr">
        <is>
          <t xml:space="preserve">Molecular coordination of adhesion molecules in foraging behaviors and circuits</t>
        </is>
      </c>
      <c r="D319" t="inlineStr">
        <is>
          <t xml:space="preserve">Michael P Hart</t>
        </is>
      </c>
      <c r="E319" t="inlineStr">
        <is>
          <t xml:space="preserve">Michael P Hart</t>
        </is>
      </c>
      <c r="F319" t="inlineStr">
        <is>
          <t xml:space="preserve">UNIVERSITY OF PENNSYLVANIA</t>
        </is>
      </c>
      <c r="G319" t="inlineStr">
        <is>
          <t xml:space="preserve">PHILADELPHIA</t>
        </is>
      </c>
      <c r="H319" t="inlineStr">
        <is>
          <t xml:space="preserve">PA</t>
        </is>
      </c>
      <c r="I319" t="inlineStr">
        <is>
          <t xml:space="preserve">NIGMS</t>
        </is>
      </c>
      <c r="J319" t="inlineStr">
        <is>
          <t xml:space="preserve">National Institute of General Medical Sciences</t>
        </is>
      </c>
      <c r="K319" t="inlineStr">
        <is>
          <t xml:space="preserve">2026</t>
        </is>
      </c>
      <c r="L319" t="inlineStr">
        <is>
          <t xml:space="preserve">406250</t>
        </is>
      </c>
      <c r="M319" t="inlineStr">
        <is>
          <t xml:space="preserve">2022-08-01</t>
        </is>
      </c>
      <c r="N319" t="inlineStr">
        <is>
          <t xml:space="preserve">2027-07-31</t>
        </is>
      </c>
      <c r="O319" t="inlineStr">
        <is>
          <t xml:space="preserve"/>
        </is>
      </c>
      <c r="P319" s="3" t="str">
        <f>HYPERLINK("https://reporter.nih.gov/project-details/11399840","https://reporter.nih.gov/project-details/11399840")</f>
        <v>https://reporter.nih.gov/project-details/11399840</v>
      </c>
    </row>
    <row r="320">
      <c r="A320" t="inlineStr">
        <is>
          <t xml:space="preserve">2026-08-12</t>
        </is>
      </c>
      <c r="B320" t="inlineStr">
        <is>
          <t xml:space="preserve">1R21HD118656-01A1</t>
        </is>
      </c>
      <c r="C320" t="inlineStr">
        <is>
          <t xml:space="preserve">Leveraging Long-Read Sequencing to Predict Disease Severity in Fragile X Syndrome</t>
        </is>
      </c>
      <c r="D320" t="inlineStr">
        <is>
          <t xml:space="preserve">Craig Erickson</t>
        </is>
      </c>
      <c r="E320" t="inlineStr">
        <is>
          <t xml:space="preserve">Craig Erickson; Christina Gross</t>
        </is>
      </c>
      <c r="F320" t="inlineStr">
        <is>
          <t xml:space="preserve">CINCINNATI CHILDRENS HOSP MED CTR</t>
        </is>
      </c>
      <c r="G320" t="inlineStr">
        <is>
          <t xml:space="preserve">CINCINNATI</t>
        </is>
      </c>
      <c r="H320" t="inlineStr">
        <is>
          <t xml:space="preserve">OH</t>
        </is>
      </c>
      <c r="I320" t="inlineStr">
        <is>
          <t xml:space="preserve">NICHD</t>
        </is>
      </c>
      <c r="J320" t="inlineStr">
        <is>
          <t xml:space="preserve">Eunice Kennedy Shriver National Institute of Child Health and Human Development</t>
        </is>
      </c>
      <c r="K320" t="inlineStr">
        <is>
          <t xml:space="preserve">2026</t>
        </is>
      </c>
      <c r="L320" t="inlineStr">
        <is>
          <t xml:space="preserve">445500</t>
        </is>
      </c>
      <c r="M320" t="inlineStr">
        <is>
          <t xml:space="preserve">2026-09-01</t>
        </is>
      </c>
      <c r="N320" t="inlineStr">
        <is>
          <t xml:space="preserve">2028-08-31</t>
        </is>
      </c>
      <c r="O320" t="inlineStr">
        <is>
          <t xml:space="preserve">Gene therapy</t>
        </is>
      </c>
      <c r="P320" s="3" t="str">
        <f>HYPERLINK("https://reporter.nih.gov/project-details/11312781","https://reporter.nih.gov/project-details/11312781")</f>
        <v>https://reporter.nih.gov/project-details/11312781</v>
      </c>
    </row>
    <row r="321">
      <c r="A321" t="inlineStr">
        <is>
          <t xml:space="preserve">2026-08-12</t>
        </is>
      </c>
      <c r="B321" t="inlineStr">
        <is>
          <t xml:space="preserve">5R01HD108222-04</t>
        </is>
      </c>
      <c r="C321" t="inlineStr">
        <is>
          <t xml:space="preserve">FX ENTRAIN: Perturbation of neurodynamics underlying sensory hyperarousal and statistical learning in Youth with FXS</t>
        </is>
      </c>
      <c r="D321" t="inlineStr">
        <is>
          <t xml:space="preserve">Ernest Vijay Pedapati</t>
        </is>
      </c>
      <c r="E321" t="inlineStr">
        <is>
          <t xml:space="preserve">Ernest Vijay Pedapati</t>
        </is>
      </c>
      <c r="F321" t="inlineStr">
        <is>
          <t xml:space="preserve">CINCINNATI CHILDRENS HOSP MED CTR</t>
        </is>
      </c>
      <c r="G321" t="inlineStr">
        <is>
          <t xml:space="preserve">CINCINNATI</t>
        </is>
      </c>
      <c r="H321" t="inlineStr">
        <is>
          <t xml:space="preserve">OH</t>
        </is>
      </c>
      <c r="I321" t="inlineStr">
        <is>
          <t xml:space="preserve">NICHD</t>
        </is>
      </c>
      <c r="J321" t="inlineStr">
        <is>
          <t xml:space="preserve">Eunice Kennedy Shriver National Institute of Child Health and Human Development</t>
        </is>
      </c>
      <c r="K321" t="inlineStr">
        <is>
          <t xml:space="preserve">2026</t>
        </is>
      </c>
      <c r="L321" t="inlineStr">
        <is>
          <t xml:space="preserve">706917</t>
        </is>
      </c>
      <c r="M321" t="inlineStr">
        <is>
          <t xml:space="preserve">2023-08-07</t>
        </is>
      </c>
      <c r="N321" t="inlineStr">
        <is>
          <t xml:space="preserve">2028-07-31</t>
        </is>
      </c>
      <c r="O321" t="inlineStr">
        <is>
          <t xml:space="preserve">Small molecule, Behavioral</t>
        </is>
      </c>
      <c r="P321" s="3" t="str">
        <f>HYPERLINK("https://reporter.nih.gov/project-details/11377635","https://reporter.nih.gov/project-details/11377635")</f>
        <v>https://reporter.nih.gov/project-details/11377635</v>
      </c>
    </row>
    <row r="322">
      <c r="A322" t="inlineStr">
        <is>
          <t xml:space="preserve">2026-08-12</t>
        </is>
      </c>
      <c r="B322" t="inlineStr">
        <is>
          <t xml:space="preserve">5R01NS134868-03</t>
        </is>
      </c>
      <c r="C322" t="inlineStr">
        <is>
          <t xml:space="preserve">The Role of Dystrophin in Synapse Development</t>
        </is>
      </c>
      <c r="D322" t="inlineStr">
        <is>
          <t xml:space="preserve">Jason Richard Pugh</t>
        </is>
      </c>
      <c r="E322" t="inlineStr">
        <is>
          <t xml:space="preserve">Jason Richard Pugh</t>
        </is>
      </c>
      <c r="F322" t="inlineStr">
        <is>
          <t xml:space="preserve">UNIVERSITY OF TEXAS HLTH SCIENCE CENTER</t>
        </is>
      </c>
      <c r="G322" t="inlineStr">
        <is>
          <t xml:space="preserve">SAN ANTONIO</t>
        </is>
      </c>
      <c r="H322" t="inlineStr">
        <is>
          <t xml:space="preserve">TX</t>
        </is>
      </c>
      <c r="I322" t="inlineStr">
        <is>
          <t xml:space="preserve">NINDS</t>
        </is>
      </c>
      <c r="J322" t="inlineStr">
        <is>
          <t xml:space="preserve">National Institute of Neurological Disorders and Stroke</t>
        </is>
      </c>
      <c r="K322" t="inlineStr">
        <is>
          <t xml:space="preserve">2026</t>
        </is>
      </c>
      <c r="L322" t="inlineStr">
        <is>
          <t xml:space="preserve">456558</t>
        </is>
      </c>
      <c r="M322" t="inlineStr">
        <is>
          <t xml:space="preserve">2024-08-02</t>
        </is>
      </c>
      <c r="N322" t="inlineStr">
        <is>
          <t xml:space="preserve">2029-07-31</t>
        </is>
      </c>
      <c r="O322" t="inlineStr">
        <is>
          <t xml:space="preserve">Small molecule, Behavioral</t>
        </is>
      </c>
      <c r="P322" s="3" t="str">
        <f>HYPERLINK("https://reporter.nih.gov/project-details/11381091","https://reporter.nih.gov/project-details/11381091")</f>
        <v>https://reporter.nih.gov/project-details/11381091</v>
      </c>
    </row>
    <row r="323">
      <c r="A323" t="inlineStr">
        <is>
          <t xml:space="preserve">2026-08-12</t>
        </is>
      </c>
      <c r="B323" t="inlineStr">
        <is>
          <t xml:space="preserve">4DP2EB035858-03</t>
        </is>
      </c>
      <c r="C323" t="inlineStr">
        <is>
          <t xml:space="preserve">Crowd-Powered Machine Learning to Diagnose ASD and ADHD in Adolescents from Digital Social Interactions</t>
        </is>
      </c>
      <c r="D323" t="inlineStr">
        <is>
          <t xml:space="preserve">Peter Washington</t>
        </is>
      </c>
      <c r="E323" t="inlineStr">
        <is>
          <t xml:space="preserve">Peter Washington</t>
        </is>
      </c>
      <c r="F323" t="inlineStr">
        <is>
          <t xml:space="preserve">UNIVERSITY OF CALIFORNIA, SAN FRANCISCO</t>
        </is>
      </c>
      <c r="G323" t="inlineStr">
        <is>
          <t xml:space="preserve">SAN FRANCISCO</t>
        </is>
      </c>
      <c r="H323" t="inlineStr">
        <is>
          <t xml:space="preserve">CA</t>
        </is>
      </c>
      <c r="I323" t="inlineStr">
        <is>
          <t xml:space="preserve">NIBIB</t>
        </is>
      </c>
      <c r="J323" t="inlineStr">
        <is>
          <t xml:space="preserve">National Institute of Biomedical Imaging and Bioengineering</t>
        </is>
      </c>
      <c r="K323" t="inlineStr">
        <is>
          <t xml:space="preserve">2026</t>
        </is>
      </c>
      <c r="L323" t="inlineStr">
        <is>
          <t xml:space="preserve">959853</t>
        </is>
      </c>
      <c r="M323" t="inlineStr">
        <is>
          <t xml:space="preserve">2023-09-21</t>
        </is>
      </c>
      <c r="N323" t="inlineStr">
        <is>
          <t xml:space="preserve">2028-09-20</t>
        </is>
      </c>
      <c r="O323" t="inlineStr">
        <is>
          <t xml:space="preserve">Device / stimulation</t>
        </is>
      </c>
      <c r="P323" s="3" t="str">
        <f>HYPERLINK("https://reporter.nih.gov/project-details/11073567","https://reporter.nih.gov/project-details/11073567")</f>
        <v>https://reporter.nih.gov/project-details/11073567</v>
      </c>
    </row>
    <row r="324">
      <c r="A324" t="inlineStr">
        <is>
          <t xml:space="preserve">2026-08-11</t>
        </is>
      </c>
      <c r="B324" t="inlineStr">
        <is>
          <t xml:space="preserve">1K99NS151036-01</t>
        </is>
      </c>
      <c r="C324" t="inlineStr">
        <is>
          <t xml:space="preserve">Examining Scn2a loss of function in sensory perception</t>
        </is>
      </c>
      <c r="D324" t="inlineStr">
        <is>
          <t xml:space="preserve">Kathryn Anne Salvati</t>
        </is>
      </c>
      <c r="E324" t="inlineStr">
        <is>
          <t xml:space="preserve">Kathryn Anne Salvati</t>
        </is>
      </c>
      <c r="F324" t="inlineStr">
        <is>
          <t xml:space="preserve">UNIVERSITY OF CALIFORNIA, SAN FRANCISCO</t>
        </is>
      </c>
      <c r="G324" t="inlineStr">
        <is>
          <t xml:space="preserve">SAN FRANCISCO</t>
        </is>
      </c>
      <c r="H324" t="inlineStr">
        <is>
          <t xml:space="preserve">CA</t>
        </is>
      </c>
      <c r="I324" t="inlineStr">
        <is>
          <t xml:space="preserve">NINDS</t>
        </is>
      </c>
      <c r="J324" t="inlineStr">
        <is>
          <t xml:space="preserve">National Institute of Neurological Disorders and Stroke</t>
        </is>
      </c>
      <c r="K324" t="inlineStr">
        <is>
          <t xml:space="preserve">2026</t>
        </is>
      </c>
      <c r="L324" t="inlineStr">
        <is>
          <t xml:space="preserve">117747</t>
        </is>
      </c>
      <c r="M324" t="inlineStr">
        <is>
          <t xml:space="preserve">2026-08-15</t>
        </is>
      </c>
      <c r="N324" t="inlineStr">
        <is>
          <t xml:space="preserve">2028-07-31</t>
        </is>
      </c>
      <c r="O324" t="inlineStr">
        <is>
          <t xml:space="preserve"/>
        </is>
      </c>
      <c r="P324" s="3" t="str">
        <f>HYPERLINK("https://reporter.nih.gov/project-details/11436758","https://reporter.nih.gov/project-details/11436758")</f>
        <v>https://reporter.nih.gov/project-details/11436758</v>
      </c>
    </row>
    <row r="325">
      <c r="A325" t="inlineStr">
        <is>
          <t xml:space="preserve">2026-08-11</t>
        </is>
      </c>
      <c r="B325" t="inlineStr">
        <is>
          <t xml:space="preserve">3P50HD103525-05S5</t>
        </is>
      </c>
      <c r="C325" t="inlineStr">
        <is>
          <t xml:space="preserve">WASHINGTON UNIVERSITY INTELLECTUAL AND DEVELOPMENTAL DISABILITIES RESEARCH CENTER</t>
        </is>
      </c>
      <c r="D325" t="inlineStr">
        <is>
          <t xml:space="preserve">JOSEPH D DOUGHERTY</t>
        </is>
      </c>
      <c r="E325" t="inlineStr">
        <is>
          <t xml:space="preserve">JOSEPH D DOUGHERTY; Natasha Marrus</t>
        </is>
      </c>
      <c r="F325" t="inlineStr">
        <is>
          <t xml:space="preserve">WASHINGTON UNIVERSITY</t>
        </is>
      </c>
      <c r="G325" t="inlineStr">
        <is>
          <t xml:space="preserve">SAINT LOUIS</t>
        </is>
      </c>
      <c r="H325" t="inlineStr">
        <is>
          <t xml:space="preserve">MO</t>
        </is>
      </c>
      <c r="I325" t="inlineStr">
        <is>
          <t xml:space="preserve">NICHD</t>
        </is>
      </c>
      <c r="J325" t="inlineStr">
        <is>
          <t xml:space="preserve">Eunice Kennedy Shriver National Institute of Child Health and Human Development</t>
        </is>
      </c>
      <c r="K325" t="inlineStr">
        <is>
          <t xml:space="preserve">2026</t>
        </is>
      </c>
      <c r="L325" t="inlineStr">
        <is>
          <t xml:space="preserve">1142182</t>
        </is>
      </c>
      <c r="M325" t="inlineStr">
        <is>
          <t xml:space="preserve">2026-06-01</t>
        </is>
      </c>
      <c r="N325" t="inlineStr">
        <is>
          <t xml:space="preserve">2027-05-31</t>
        </is>
      </c>
      <c r="O325" t="inlineStr">
        <is>
          <t xml:space="preserve">Small molecule</t>
        </is>
      </c>
      <c r="P325" s="3" t="str">
        <f>HYPERLINK("https://reporter.nih.gov/project-details/11538865","https://reporter.nih.gov/project-details/11538865")</f>
        <v>https://reporter.nih.gov/project-details/11538865</v>
      </c>
    </row>
    <row r="326">
      <c r="A326" t="inlineStr">
        <is>
          <t xml:space="preserve">2026-08-11</t>
        </is>
      </c>
      <c r="B326" t="inlineStr">
        <is>
          <t xml:space="preserve">5F32MH134612-03</t>
        </is>
      </c>
      <c r="C326" t="inlineStr">
        <is>
          <t xml:space="preserve">Temporal prediction and social function:  Modeling neural and behavioral correlates of making predictions in time across typically-developing and austistic adults</t>
        </is>
      </c>
      <c r="D326" t="inlineStr">
        <is>
          <t xml:space="preserve">Noah Roy Fram</t>
        </is>
      </c>
      <c r="E326" t="inlineStr">
        <is>
          <t xml:space="preserve">Noah Roy Fram</t>
        </is>
      </c>
      <c r="F326" t="inlineStr">
        <is>
          <t xml:space="preserve">VANDERBILT UNIVERSITY MEDICAL CENTER</t>
        </is>
      </c>
      <c r="G326" t="inlineStr">
        <is>
          <t xml:space="preserve">NASHVILLE</t>
        </is>
      </c>
      <c r="H326" t="inlineStr">
        <is>
          <t xml:space="preserve">TN</t>
        </is>
      </c>
      <c r="I326" t="inlineStr">
        <is>
          <t xml:space="preserve">NIMH</t>
        </is>
      </c>
      <c r="J326" t="inlineStr">
        <is>
          <t xml:space="preserve">National Institute of Mental Health</t>
        </is>
      </c>
      <c r="K326" t="inlineStr">
        <is>
          <t xml:space="preserve">2026</t>
        </is>
      </c>
      <c r="L326" t="inlineStr">
        <is>
          <t xml:space="preserve">83848</t>
        </is>
      </c>
      <c r="M326" t="inlineStr">
        <is>
          <t xml:space="preserve">2024-08-01</t>
        </is>
      </c>
      <c r="N326" t="inlineStr">
        <is>
          <t xml:space="preserve">2027-07-31</t>
        </is>
      </c>
      <c r="O326" t="inlineStr">
        <is>
          <t xml:space="preserve"/>
        </is>
      </c>
      <c r="P326" s="3" t="str">
        <f>HYPERLINK("https://reporter.nih.gov/project-details/11393711","https://reporter.nih.gov/project-details/11393711")</f>
        <v>https://reporter.nih.gov/project-details/11393711</v>
      </c>
    </row>
    <row r="327">
      <c r="A327" t="inlineStr">
        <is>
          <t xml:space="preserve">2026-08-11</t>
        </is>
      </c>
      <c r="B327" t="inlineStr">
        <is>
          <t xml:space="preserve">5R00NS124976-04</t>
        </is>
      </c>
      <c r="C327" t="inlineStr">
        <is>
          <t xml:space="preserve">The Function of Sleep in Critical Period Plasticity</t>
        </is>
      </c>
      <c r="D327" t="inlineStr">
        <is>
          <t xml:space="preserve">MEHMET KELES</t>
        </is>
      </c>
      <c r="E327" t="inlineStr">
        <is>
          <t xml:space="preserve">MEHMET KELES</t>
        </is>
      </c>
      <c r="F327" t="inlineStr">
        <is>
          <t xml:space="preserve">JOHNS HOPKINS UNIVERSITY</t>
        </is>
      </c>
      <c r="G327" t="inlineStr">
        <is>
          <t xml:space="preserve">BALTIMORE</t>
        </is>
      </c>
      <c r="H327" t="inlineStr">
        <is>
          <t xml:space="preserve">MD</t>
        </is>
      </c>
      <c r="I327" t="inlineStr">
        <is>
          <t xml:space="preserve">NINDS</t>
        </is>
      </c>
      <c r="J327" t="inlineStr">
        <is>
          <t xml:space="preserve">National Institute of Neurological Disorders and Stroke</t>
        </is>
      </c>
      <c r="K327" t="inlineStr">
        <is>
          <t xml:space="preserve">2026</t>
        </is>
      </c>
      <c r="L327" t="inlineStr">
        <is>
          <t xml:space="preserve">246446</t>
        </is>
      </c>
      <c r="M327" t="inlineStr">
        <is>
          <t xml:space="preserve">2023-02-15</t>
        </is>
      </c>
      <c r="N327" t="inlineStr">
        <is>
          <t xml:space="preserve">2028-08-31</t>
        </is>
      </c>
      <c r="O327" t="inlineStr">
        <is>
          <t xml:space="preserve">Nucleic acid therapeutics, Small molecule</t>
        </is>
      </c>
      <c r="P327" s="3" t="str">
        <f>HYPERLINK("https://reporter.nih.gov/project-details/11404820","https://reporter.nih.gov/project-details/11404820")</f>
        <v>https://reporter.nih.gov/project-details/11404820</v>
      </c>
    </row>
    <row r="328">
      <c r="A328" t="inlineStr">
        <is>
          <t xml:space="preserve">2026-08-11</t>
        </is>
      </c>
      <c r="B328" t="inlineStr">
        <is>
          <t xml:space="preserve">3P50HD103556-05S1</t>
        </is>
      </c>
      <c r="C328" t="inlineStr">
        <is>
          <t xml:space="preserve">University of Iowa Hawkeye Intellectual and Developmental Disabilities Research Center (Hawk-IDDRC)</t>
        </is>
      </c>
      <c r="D328" t="inlineStr">
        <is>
          <t xml:space="preserve">Lane Strathearn</t>
        </is>
      </c>
      <c r="E328" t="inlineStr">
        <is>
          <t xml:space="preserve">EDWIN TED G. ABEL; Lane Strathearn</t>
        </is>
      </c>
      <c r="F328" t="inlineStr">
        <is>
          <t xml:space="preserve">UNIVERSITY OF IOWA</t>
        </is>
      </c>
      <c r="G328" t="inlineStr">
        <is>
          <t xml:space="preserve">IOWA CITY</t>
        </is>
      </c>
      <c r="H328" t="inlineStr">
        <is>
          <t xml:space="preserve">IA</t>
        </is>
      </c>
      <c r="I328" t="inlineStr">
        <is>
          <t xml:space="preserve">NICHD</t>
        </is>
      </c>
      <c r="J328" t="inlineStr">
        <is>
          <t xml:space="preserve">Eunice Kennedy Shriver National Institute of Child Health and Human Development</t>
        </is>
      </c>
      <c r="K328" t="inlineStr">
        <is>
          <t xml:space="preserve">2026</t>
        </is>
      </c>
      <c r="L328" t="inlineStr">
        <is>
          <t xml:space="preserve">1157699</t>
        </is>
      </c>
      <c r="M328" t="inlineStr">
        <is>
          <t xml:space="preserve">2026-06-01</t>
        </is>
      </c>
      <c r="N328" t="inlineStr">
        <is>
          <t xml:space="preserve">2027-05-31</t>
        </is>
      </c>
      <c r="O328" t="inlineStr">
        <is>
          <t xml:space="preserve"/>
        </is>
      </c>
      <c r="P328" s="3" t="str">
        <f>HYPERLINK("https://reporter.nih.gov/project-details/11519885","https://reporter.nih.gov/project-details/11519885")</f>
        <v>https://reporter.nih.gov/project-details/11519885</v>
      </c>
    </row>
    <row r="329">
      <c r="A329" t="inlineStr">
        <is>
          <t xml:space="preserve">2026-08-11</t>
        </is>
      </c>
      <c r="B329" t="inlineStr">
        <is>
          <t xml:space="preserve">3P50HD103538-05S2</t>
        </is>
      </c>
      <c r="C329" t="inlineStr">
        <is>
          <t xml:space="preserve">Intellectual and Developmental Disabilities Research Centers</t>
        </is>
      </c>
      <c r="D329" t="inlineStr">
        <is>
          <t xml:space="preserve">Bradley L Schlaggar</t>
        </is>
      </c>
      <c r="E329" t="inlineStr">
        <is>
          <t xml:space="preserve">S. Ali Fatemi; Bradley L Schlaggar</t>
        </is>
      </c>
      <c r="F329" t="inlineStr">
        <is>
          <t xml:space="preserve">HUGO W. MOSER RES INST KENNEDY KRIEGER</t>
        </is>
      </c>
      <c r="G329" t="inlineStr">
        <is>
          <t xml:space="preserve">BALTIMORE</t>
        </is>
      </c>
      <c r="H329" t="inlineStr">
        <is>
          <t xml:space="preserve">MD</t>
        </is>
      </c>
      <c r="I329" t="inlineStr">
        <is>
          <t xml:space="preserve">NICHD</t>
        </is>
      </c>
      <c r="J329" t="inlineStr">
        <is>
          <t xml:space="preserve">Eunice Kennedy Shriver National Institute of Child Health and Human Development</t>
        </is>
      </c>
      <c r="K329" t="inlineStr">
        <is>
          <t xml:space="preserve">2026</t>
        </is>
      </c>
      <c r="L329" t="inlineStr">
        <is>
          <t xml:space="preserve">1155259</t>
        </is>
      </c>
      <c r="M329" t="inlineStr">
        <is>
          <t xml:space="preserve">2026-06-01</t>
        </is>
      </c>
      <c r="N329" t="inlineStr">
        <is>
          <t xml:space="preserve">2027-05-31</t>
        </is>
      </c>
      <c r="O329" t="inlineStr">
        <is>
          <t xml:space="preserve"/>
        </is>
      </c>
      <c r="P329" s="3" t="str">
        <f>HYPERLINK("https://reporter.nih.gov/project-details/11521856","https://reporter.nih.gov/project-details/11521856")</f>
        <v>https://reporter.nih.gov/project-details/11521856</v>
      </c>
    </row>
    <row r="330">
      <c r="A330" t="inlineStr">
        <is>
          <t xml:space="preserve">2026-08-11</t>
        </is>
      </c>
      <c r="B330" t="inlineStr">
        <is>
          <t xml:space="preserve">2R44MD021095-02A1</t>
        </is>
      </c>
      <c r="C330" t="inlineStr">
        <is>
          <t xml:space="preserve">PREP - Prepare for college success by improving EF, SA and SI skills for students with a disability.</t>
        </is>
      </c>
      <c r="D330" t="inlineStr">
        <is>
          <t xml:space="preserve">marty schultz</t>
        </is>
      </c>
      <c r="E330" t="inlineStr">
        <is>
          <t xml:space="preserve">marty schultz</t>
        </is>
      </c>
      <c r="F330" t="inlineStr">
        <is>
          <t xml:space="preserve">OBJECTIVE ED, INC.</t>
        </is>
      </c>
      <c r="G330" t="inlineStr">
        <is>
          <t xml:space="preserve">WELLINGTON</t>
        </is>
      </c>
      <c r="H330" t="inlineStr">
        <is>
          <t xml:space="preserve">FL</t>
        </is>
      </c>
      <c r="I330" t="inlineStr">
        <is>
          <t xml:space="preserve">NIMHD</t>
        </is>
      </c>
      <c r="J330" t="inlineStr">
        <is>
          <t xml:space="preserve">National Institute on Minority Health and Health Disparities</t>
        </is>
      </c>
      <c r="K330" t="inlineStr">
        <is>
          <t xml:space="preserve">2026</t>
        </is>
      </c>
      <c r="L330" t="inlineStr">
        <is>
          <t xml:space="preserve">1031318</t>
        </is>
      </c>
      <c r="M330" t="inlineStr">
        <is>
          <t xml:space="preserve">2023-09-01</t>
        </is>
      </c>
      <c r="N330" t="inlineStr">
        <is>
          <t xml:space="preserve">2028-04-30</t>
        </is>
      </c>
      <c r="O330" t="inlineStr">
        <is>
          <t xml:space="preserve"/>
        </is>
      </c>
      <c r="P330" s="3" t="str">
        <f>HYPERLINK("https://reporter.nih.gov/project-details/11379651","https://reporter.nih.gov/project-details/11379651")</f>
        <v>https://reporter.nih.gov/project-details/11379651</v>
      </c>
    </row>
    <row r="331">
      <c r="A331" t="inlineStr">
        <is>
          <t xml:space="preserve">2026-08-11</t>
        </is>
      </c>
      <c r="B331" t="inlineStr">
        <is>
          <t xml:space="preserve">5F31NS137730-02</t>
        </is>
      </c>
      <c r="C331" t="inlineStr">
        <is>
          <t xml:space="preserve">Diverse Patterns of Activity-Dependent Alternative Splicing</t>
        </is>
      </c>
      <c r="D331" t="inlineStr">
        <is>
          <t xml:space="preserve">Yu-Chi Sun</t>
        </is>
      </c>
      <c r="E331" t="inlineStr">
        <is>
          <t xml:space="preserve">Yu-Chi Sun</t>
        </is>
      </c>
      <c r="F331" t="inlineStr">
        <is>
          <t xml:space="preserve">NEW YORK UNIVERSITY SCHOOL OF MEDICINE</t>
        </is>
      </c>
      <c r="G331" t="inlineStr">
        <is>
          <t xml:space="preserve">NEW YORK</t>
        </is>
      </c>
      <c r="H331" t="inlineStr">
        <is>
          <t xml:space="preserve">NY</t>
        </is>
      </c>
      <c r="I331" t="inlineStr">
        <is>
          <t xml:space="preserve">NINDS</t>
        </is>
      </c>
      <c r="J331" t="inlineStr">
        <is>
          <t xml:space="preserve">National Institute of Neurological Disorders and Stroke</t>
        </is>
      </c>
      <c r="K331" t="inlineStr">
        <is>
          <t xml:space="preserve">2026</t>
        </is>
      </c>
      <c r="L331" t="inlineStr">
        <is>
          <t xml:space="preserve">43242</t>
        </is>
      </c>
      <c r="M331" t="inlineStr">
        <is>
          <t xml:space="preserve">2024-09-01</t>
        </is>
      </c>
      <c r="N331" t="inlineStr">
        <is>
          <t xml:space="preserve">2027-08-31</t>
        </is>
      </c>
      <c r="O331" t="inlineStr">
        <is>
          <t xml:space="preserve"/>
        </is>
      </c>
      <c r="P331" s="3" t="str">
        <f>HYPERLINK("https://reporter.nih.gov/project-details/11087457","https://reporter.nih.gov/project-details/11087457")</f>
        <v>https://reporter.nih.gov/project-details/11087457</v>
      </c>
    </row>
    <row r="332">
      <c r="A332" t="inlineStr">
        <is>
          <t xml:space="preserve">2026-08-11</t>
        </is>
      </c>
      <c r="B332" t="inlineStr">
        <is>
          <t xml:space="preserve">1F31MH145830-01</t>
        </is>
      </c>
      <c r="C332" t="inlineStr">
        <is>
          <t xml:space="preserve">Loss of Conserved Regulatory Elements in Human Brain Evolution</t>
        </is>
      </c>
      <c r="D332" t="inlineStr">
        <is>
          <t xml:space="preserve">Ashlyn Anderson</t>
        </is>
      </c>
      <c r="E332" t="inlineStr">
        <is>
          <t xml:space="preserve">Ashlyn Anderson</t>
        </is>
      </c>
      <c r="F332" t="inlineStr">
        <is>
          <t xml:space="preserve">UNIVERSITY OF ALABAMA AT BIRMINGHAM</t>
        </is>
      </c>
      <c r="G332" t="inlineStr">
        <is>
          <t xml:space="preserve">BIRMINGHAM</t>
        </is>
      </c>
      <c r="H332" t="inlineStr">
        <is>
          <t xml:space="preserve">AL</t>
        </is>
      </c>
      <c r="I332" t="inlineStr">
        <is>
          <t xml:space="preserve">NIMH</t>
        </is>
      </c>
      <c r="J332" t="inlineStr">
        <is>
          <t xml:space="preserve">National Institute of Mental Health</t>
        </is>
      </c>
      <c r="K332" t="inlineStr">
        <is>
          <t xml:space="preserve">2026</t>
        </is>
      </c>
      <c r="L332" t="inlineStr">
        <is>
          <t xml:space="preserve">41809</t>
        </is>
      </c>
      <c r="M332" t="inlineStr">
        <is>
          <t xml:space="preserve">2026-08-14</t>
        </is>
      </c>
      <c r="N332" t="inlineStr">
        <is>
          <t xml:space="preserve">2029-08-13</t>
        </is>
      </c>
      <c r="O332" t="inlineStr">
        <is>
          <t xml:space="preserve">Gene therapy</t>
        </is>
      </c>
      <c r="P332" s="3" t="str">
        <f>HYPERLINK("https://reporter.nih.gov/project-details/11458751","https://reporter.nih.gov/project-details/11458751")</f>
        <v>https://reporter.nih.gov/project-details/11458751</v>
      </c>
    </row>
    <row r="333">
      <c r="A333" t="inlineStr">
        <is>
          <t xml:space="preserve">2026-08-11</t>
        </is>
      </c>
      <c r="B333" t="inlineStr">
        <is>
          <t xml:space="preserve">5K01MH129622-05</t>
        </is>
      </c>
      <c r="C333" t="inlineStr">
        <is>
          <t xml:space="preserve">Emotion processing and risk for anxiety and depression in autistic adults</t>
        </is>
      </c>
      <c r="D333" t="inlineStr">
        <is>
          <t xml:space="preserve">Goldie Ann McQuaid</t>
        </is>
      </c>
      <c r="E333" t="inlineStr">
        <is>
          <t xml:space="preserve">Goldie Ann McQuaid</t>
        </is>
      </c>
      <c r="F333" t="inlineStr">
        <is>
          <t xml:space="preserve">GEORGE MASON UNIVERSITY</t>
        </is>
      </c>
      <c r="G333" t="inlineStr">
        <is>
          <t xml:space="preserve">FAIRFAX</t>
        </is>
      </c>
      <c r="H333" t="inlineStr">
        <is>
          <t xml:space="preserve">VA</t>
        </is>
      </c>
      <c r="I333" t="inlineStr">
        <is>
          <t xml:space="preserve">NIMH</t>
        </is>
      </c>
      <c r="J333" t="inlineStr">
        <is>
          <t xml:space="preserve">National Institute of Mental Health</t>
        </is>
      </c>
      <c r="K333" t="inlineStr">
        <is>
          <t xml:space="preserve">2026</t>
        </is>
      </c>
      <c r="L333" t="inlineStr">
        <is>
          <t xml:space="preserve">147736</t>
        </is>
      </c>
      <c r="M333" t="inlineStr">
        <is>
          <t xml:space="preserve">2022-09-08</t>
        </is>
      </c>
      <c r="N333" t="inlineStr">
        <is>
          <t xml:space="preserve">2027-08-31</t>
        </is>
      </c>
      <c r="O333" t="inlineStr">
        <is>
          <t xml:space="preserve"/>
        </is>
      </c>
      <c r="P333" s="3" t="str">
        <f>HYPERLINK("https://reporter.nih.gov/project-details/11382705","https://reporter.nih.gov/project-details/11382705")</f>
        <v>https://reporter.nih.gov/project-details/11382705</v>
      </c>
    </row>
    <row r="334">
      <c r="A334" t="inlineStr">
        <is>
          <t xml:space="preserve">2026-08-11</t>
        </is>
      </c>
      <c r="B334" t="inlineStr">
        <is>
          <t xml:space="preserve">3P50HD105353-05S1</t>
        </is>
      </c>
      <c r="C334" t="inlineStr">
        <is>
          <t xml:space="preserve">Waisman Center Intellectual and Developmental Disabilities Research Center</t>
        </is>
      </c>
      <c r="D334" t="inlineStr">
        <is>
          <t xml:space="preserve">Qiang Chang</t>
        </is>
      </c>
      <c r="E334" t="inlineStr">
        <is>
          <t xml:space="preserve">Qiang Chang</t>
        </is>
      </c>
      <c r="F334" t="inlineStr">
        <is>
          <t xml:space="preserve">UNIVERSITY OF WISCONSIN-MADISON</t>
        </is>
      </c>
      <c r="G334" t="inlineStr">
        <is>
          <t xml:space="preserve">MADISON</t>
        </is>
      </c>
      <c r="H334" t="inlineStr">
        <is>
          <t xml:space="preserve">WI</t>
        </is>
      </c>
      <c r="I334" t="inlineStr">
        <is>
          <t xml:space="preserve">NICHD</t>
        </is>
      </c>
      <c r="J334" t="inlineStr">
        <is>
          <t xml:space="preserve">Eunice Kennedy Shriver National Institute of Child Health and Human Development</t>
        </is>
      </c>
      <c r="K334" t="inlineStr">
        <is>
          <t xml:space="preserve">2026</t>
        </is>
      </c>
      <c r="L334" t="inlineStr">
        <is>
          <t xml:space="preserve">1156658</t>
        </is>
      </c>
      <c r="M334" t="inlineStr">
        <is>
          <t xml:space="preserve">2026-06-01</t>
        </is>
      </c>
      <c r="N334" t="inlineStr">
        <is>
          <t xml:space="preserve">2027-05-31</t>
        </is>
      </c>
      <c r="O334" t="inlineStr">
        <is>
          <t xml:space="preserve">Device / stimulation, Behavioral</t>
        </is>
      </c>
      <c r="P334" s="3" t="str">
        <f>HYPERLINK("https://reporter.nih.gov/project-details/11519504","https://reporter.nih.gov/project-details/11519504")</f>
        <v>https://reporter.nih.gov/project-details/11519504</v>
      </c>
    </row>
    <row r="335">
      <c r="A335" t="inlineStr">
        <is>
          <t xml:space="preserve">2026-08-11</t>
        </is>
      </c>
      <c r="B335" t="inlineStr">
        <is>
          <t xml:space="preserve">1R01MH142539-01</t>
        </is>
      </c>
      <c r="C335" t="inlineStr">
        <is>
          <t xml:space="preserve">Global Initiative for Harmonized Functional MRI in Psychiatry</t>
        </is>
      </c>
      <c r="D335" t="inlineStr">
        <is>
          <t xml:space="preserve">PAUL M THOMPSON</t>
        </is>
      </c>
      <c r="E335" t="inlineStr">
        <is>
          <t xml:space="preserve">FRANK GERARD HILLARY; Clara A Moreau; PAUL M THOMPSON</t>
        </is>
      </c>
      <c r="F335" t="inlineStr">
        <is>
          <t xml:space="preserve">UNIVERSITY OF SOUTHERN CALIFORNIA</t>
        </is>
      </c>
      <c r="G335" t="inlineStr">
        <is>
          <t xml:space="preserve">Los Angeles</t>
        </is>
      </c>
      <c r="H335" t="inlineStr">
        <is>
          <t xml:space="preserve">CA</t>
        </is>
      </c>
      <c r="I335" t="inlineStr">
        <is>
          <t xml:space="preserve">NIMH</t>
        </is>
      </c>
      <c r="J335" t="inlineStr">
        <is>
          <t xml:space="preserve">National Institute of Mental Health</t>
        </is>
      </c>
      <c r="K335" t="inlineStr">
        <is>
          <t xml:space="preserve">2026</t>
        </is>
      </c>
      <c r="L335" t="inlineStr">
        <is>
          <t xml:space="preserve">455324</t>
        </is>
      </c>
      <c r="M335" t="inlineStr">
        <is>
          <t xml:space="preserve">2026-08-07</t>
        </is>
      </c>
      <c r="N335" t="inlineStr">
        <is>
          <t xml:space="preserve">2031-07-31</t>
        </is>
      </c>
      <c r="O335" t="inlineStr">
        <is>
          <t xml:space="preserve">Small molecule</t>
        </is>
      </c>
      <c r="P335" s="3" t="str">
        <f>HYPERLINK("https://reporter.nih.gov/project-details/11269134","https://reporter.nih.gov/project-details/11269134")</f>
        <v>https://reporter.nih.gov/project-details/11269134</v>
      </c>
    </row>
    <row r="336">
      <c r="A336" t="inlineStr">
        <is>
          <t xml:space="preserve">2026-08-10</t>
        </is>
      </c>
      <c r="B336" t="inlineStr">
        <is>
          <t xml:space="preserve">5F30MH138009-03</t>
        </is>
      </c>
      <c r="C336" t="inlineStr">
        <is>
          <t xml:space="preserve">STUDYING SINGLE NEURON COMPUTATIONS WITHIN BRAIN-WIDE CIRCUITS</t>
        </is>
      </c>
      <c r="D336" t="inlineStr">
        <is>
          <t xml:space="preserve">Michael Everest Xie</t>
        </is>
      </c>
      <c r="E336" t="inlineStr">
        <is>
          <t xml:space="preserve">Michael Everest Xie</t>
        </is>
      </c>
      <c r="F336" t="inlineStr">
        <is>
          <t xml:space="preserve">JOHNS HOPKINS UNIVERSITY</t>
        </is>
      </c>
      <c r="G336" t="inlineStr">
        <is>
          <t xml:space="preserve">BALTIMORE</t>
        </is>
      </c>
      <c r="H336" t="inlineStr">
        <is>
          <t xml:space="preserve">MD</t>
        </is>
      </c>
      <c r="I336" t="inlineStr">
        <is>
          <t xml:space="preserve">NIMH</t>
        </is>
      </c>
      <c r="J336" t="inlineStr">
        <is>
          <t xml:space="preserve">National Institute of Mental Health</t>
        </is>
      </c>
      <c r="K336" t="inlineStr">
        <is>
          <t xml:space="preserve">2026</t>
        </is>
      </c>
      <c r="L336" t="inlineStr">
        <is>
          <t xml:space="preserve">55114</t>
        </is>
      </c>
      <c r="M336" t="inlineStr">
        <is>
          <t xml:space="preserve">2024-09-01</t>
        </is>
      </c>
      <c r="N336" t="inlineStr">
        <is>
          <t xml:space="preserve">2027-08-31</t>
        </is>
      </c>
      <c r="O336" t="inlineStr">
        <is>
          <t xml:space="preserve"/>
        </is>
      </c>
      <c r="P336" s="3" t="str">
        <f>HYPERLINK("https://reporter.nih.gov/project-details/11404058","https://reporter.nih.gov/project-details/11404058")</f>
        <v>https://reporter.nih.gov/project-details/11404058</v>
      </c>
    </row>
    <row r="337">
      <c r="A337" t="inlineStr">
        <is>
          <t xml:space="preserve">2026-08-10</t>
        </is>
      </c>
      <c r="B337" t="inlineStr">
        <is>
          <t xml:space="preserve">5F31MH136717-03</t>
        </is>
      </c>
      <c r="C337" t="inlineStr">
        <is>
          <t xml:space="preserve">Characterizing the regulatory roles of microRNA on mitochondria in the mammalian CNS</t>
        </is>
      </c>
      <c r="D337" t="inlineStr">
        <is>
          <t xml:space="preserve">Emily Eiss</t>
        </is>
      </c>
      <c r="E337" t="inlineStr">
        <is>
          <t xml:space="preserve">Emily Eiss</t>
        </is>
      </c>
      <c r="F337" t="inlineStr">
        <is>
          <t xml:space="preserve">JOHNS HOPKINS UNIVERSITY</t>
        </is>
      </c>
      <c r="G337" t="inlineStr">
        <is>
          <t xml:space="preserve">BALTIMORE</t>
        </is>
      </c>
      <c r="H337" t="inlineStr">
        <is>
          <t xml:space="preserve">MD</t>
        </is>
      </c>
      <c r="I337" t="inlineStr">
        <is>
          <t xml:space="preserve">NIMH</t>
        </is>
      </c>
      <c r="J337" t="inlineStr">
        <is>
          <t xml:space="preserve">National Institute of Mental Health</t>
        </is>
      </c>
      <c r="K337" t="inlineStr">
        <is>
          <t xml:space="preserve">2026</t>
        </is>
      </c>
      <c r="L337" t="inlineStr">
        <is>
          <t xml:space="preserve">36057</t>
        </is>
      </c>
      <c r="M337" t="inlineStr">
        <is>
          <t xml:space="preserve">2024-09-05</t>
        </is>
      </c>
      <c r="N337" t="inlineStr">
        <is>
          <t xml:space="preserve">2027-03-04</t>
        </is>
      </c>
      <c r="O337" t="inlineStr">
        <is>
          <t xml:space="preserve"/>
        </is>
      </c>
      <c r="P337" s="3" t="str">
        <f>HYPERLINK("https://reporter.nih.gov/project-details/11403880","https://reporter.nih.gov/project-details/11403880")</f>
        <v>https://reporter.nih.gov/project-details/11403880</v>
      </c>
    </row>
    <row r="338">
      <c r="A338" t="inlineStr">
        <is>
          <t xml:space="preserve">2026-08-10</t>
        </is>
      </c>
      <c r="B338" t="inlineStr">
        <is>
          <t xml:space="preserve">5R00DC020235-04</t>
        </is>
      </c>
      <c r="C338" t="inlineStr">
        <is>
          <t xml:space="preserve">Neural mechanisms for stopping ongoing speech production</t>
        </is>
      </c>
      <c r="D338" t="inlineStr">
        <is>
          <t xml:space="preserve">Lingyun Zhao</t>
        </is>
      </c>
      <c r="E338" t="inlineStr">
        <is>
          <t xml:space="preserve">Lingyun Zhao</t>
        </is>
      </c>
      <c r="F338" t="inlineStr">
        <is>
          <t xml:space="preserve">UNIVERSITY OF PITTSBURGH AT PITTSBURGH</t>
        </is>
      </c>
      <c r="G338" t="inlineStr">
        <is>
          <t xml:space="preserve">PITTSBURGH</t>
        </is>
      </c>
      <c r="H338" t="inlineStr">
        <is>
          <t xml:space="preserve">PA</t>
        </is>
      </c>
      <c r="I338" t="inlineStr">
        <is>
          <t xml:space="preserve">NIDCD</t>
        </is>
      </c>
      <c r="J338" t="inlineStr">
        <is>
          <t xml:space="preserve">National Institute on Deafness and Other Communication Disorders</t>
        </is>
      </c>
      <c r="K338" t="inlineStr">
        <is>
          <t xml:space="preserve">2026</t>
        </is>
      </c>
      <c r="L338" t="inlineStr">
        <is>
          <t xml:space="preserve">249000</t>
        </is>
      </c>
      <c r="M338" t="inlineStr">
        <is>
          <t xml:space="preserve">2025-07-01</t>
        </is>
      </c>
      <c r="N338" t="inlineStr">
        <is>
          <t xml:space="preserve">2028-07-31</t>
        </is>
      </c>
      <c r="O338" t="inlineStr">
        <is>
          <t xml:space="preserve">Device / stimulation</t>
        </is>
      </c>
      <c r="P338" s="3" t="str">
        <f>HYPERLINK("https://reporter.nih.gov/project-details/11393176","https://reporter.nih.gov/project-details/11393176")</f>
        <v>https://reporter.nih.gov/project-details/11393176</v>
      </c>
    </row>
    <row r="339">
      <c r="A339" t="inlineStr">
        <is>
          <t xml:space="preserve">2026-08-10</t>
        </is>
      </c>
      <c r="B339" t="inlineStr">
        <is>
          <t xml:space="preserve">5R01NS116008-07</t>
        </is>
      </c>
      <c r="C339" t="inlineStr">
        <is>
          <t xml:space="preserve">A Neuron-specific Methyl-histone Regulatory Complex</t>
        </is>
      </c>
      <c r="D339" t="inlineStr">
        <is>
          <t xml:space="preserve">Shigeki Iwase</t>
        </is>
      </c>
      <c r="E339" t="inlineStr">
        <is>
          <t xml:space="preserve">Shigeki Iwase</t>
        </is>
      </c>
      <c r="F339" t="inlineStr">
        <is>
          <t xml:space="preserve">UNIVERSITY OF MICHIGAN AT ANN ARBOR</t>
        </is>
      </c>
      <c r="G339" t="inlineStr">
        <is>
          <t xml:space="preserve">ANN ARBOR</t>
        </is>
      </c>
      <c r="H339" t="inlineStr">
        <is>
          <t xml:space="preserve">MI</t>
        </is>
      </c>
      <c r="I339" t="inlineStr">
        <is>
          <t xml:space="preserve">NINDS</t>
        </is>
      </c>
      <c r="J339" t="inlineStr">
        <is>
          <t xml:space="preserve">National Institute of Neurological Disorders and Stroke</t>
        </is>
      </c>
      <c r="K339" t="inlineStr">
        <is>
          <t xml:space="preserve">2026</t>
        </is>
      </c>
      <c r="L339" t="inlineStr">
        <is>
          <t xml:space="preserve">598988</t>
        </is>
      </c>
      <c r="M339" t="inlineStr">
        <is>
          <t xml:space="preserve">2020-06-01</t>
        </is>
      </c>
      <c r="N339" t="inlineStr">
        <is>
          <t xml:space="preserve">2030-07-31</t>
        </is>
      </c>
      <c r="O339" t="inlineStr">
        <is>
          <t xml:space="preserve"/>
        </is>
      </c>
      <c r="P339" s="3" t="str">
        <f>HYPERLINK("https://reporter.nih.gov/project-details/11385566","https://reporter.nih.gov/project-details/11385566")</f>
        <v>https://reporter.nih.gov/project-details/11385566</v>
      </c>
    </row>
    <row r="340">
      <c r="A340" t="inlineStr">
        <is>
          <t xml:space="preserve">2026-08-10</t>
        </is>
      </c>
      <c r="B340" t="inlineStr">
        <is>
          <t xml:space="preserve">5R37NS110388-08</t>
        </is>
      </c>
      <c r="C340" t="inlineStr">
        <is>
          <t xml:space="preserve">Distal mRNA localization and translation in neural stem cells of the developing brain</t>
        </is>
      </c>
      <c r="D340" t="inlineStr">
        <is>
          <t xml:space="preserve">Debra L. Silver</t>
        </is>
      </c>
      <c r="E340" t="inlineStr">
        <is>
          <t xml:space="preserve">Debra L. Silver</t>
        </is>
      </c>
      <c r="F340" t="inlineStr">
        <is>
          <t xml:space="preserve">DUKE UNIVERSITY</t>
        </is>
      </c>
      <c r="G340" t="inlineStr">
        <is>
          <t xml:space="preserve">DURHAM</t>
        </is>
      </c>
      <c r="H340" t="inlineStr">
        <is>
          <t xml:space="preserve">NC</t>
        </is>
      </c>
      <c r="I340" t="inlineStr">
        <is>
          <t xml:space="preserve">NINDS</t>
        </is>
      </c>
      <c r="J340" t="inlineStr">
        <is>
          <t xml:space="preserve">National Institute of Neurological Disorders and Stroke</t>
        </is>
      </c>
      <c r="K340" t="inlineStr">
        <is>
          <t xml:space="preserve">2026</t>
        </is>
      </c>
      <c r="L340" t="inlineStr">
        <is>
          <t xml:space="preserve">746785</t>
        </is>
      </c>
      <c r="M340" t="inlineStr">
        <is>
          <t xml:space="preserve">2018-09-01</t>
        </is>
      </c>
      <c r="N340" t="inlineStr">
        <is>
          <t xml:space="preserve">2028-07-31</t>
        </is>
      </c>
      <c r="O340" t="inlineStr">
        <is>
          <t xml:space="preserve"/>
        </is>
      </c>
      <c r="P340" s="3" t="str">
        <f>HYPERLINK("https://reporter.nih.gov/project-details/11397499","https://reporter.nih.gov/project-details/11397499")</f>
        <v>https://reporter.nih.gov/project-details/11397499</v>
      </c>
    </row>
    <row r="341">
      <c r="A341" t="inlineStr">
        <is>
          <t xml:space="preserve">2026-08-10</t>
        </is>
      </c>
      <c r="B341" t="inlineStr">
        <is>
          <t xml:space="preserve">3D43TW009114-13S1</t>
        </is>
      </c>
      <c r="C341" t="inlineStr">
        <is>
          <t xml:space="preserve">Psychiatric research infrastructure for intervention and implementation in India – TEAMS</t>
        </is>
      </c>
      <c r="D341" t="inlineStr">
        <is>
          <t xml:space="preserve">Vishwajit Laxmikant Nimgaonkar</t>
        </is>
      </c>
      <c r="E341" t="inlineStr">
        <is>
          <t xml:space="preserve">Smita N Deshpande; Mary Elizabeth Hawk; Vishwajit Laxmikant Nimgaonkar</t>
        </is>
      </c>
      <c r="F341" t="inlineStr">
        <is>
          <t xml:space="preserve">UNIVERSITY OF PITTSBURGH AT PITTSBURGH</t>
        </is>
      </c>
      <c r="G341" t="inlineStr">
        <is>
          <t xml:space="preserve">PITTSBURGH</t>
        </is>
      </c>
      <c r="H341" t="inlineStr">
        <is>
          <t xml:space="preserve">PA</t>
        </is>
      </c>
      <c r="I341" t="inlineStr">
        <is>
          <t xml:space="preserve">FIC</t>
        </is>
      </c>
      <c r="J341" t="inlineStr">
        <is>
          <t xml:space="preserve">John E. Fogarty International Center for Advanced Study in the Health Sciences</t>
        </is>
      </c>
      <c r="K341" t="inlineStr">
        <is>
          <t xml:space="preserve">2026</t>
        </is>
      </c>
      <c r="L341" t="inlineStr">
        <is>
          <t xml:space="preserve">138428</t>
        </is>
      </c>
      <c r="M341" t="inlineStr">
        <is>
          <t xml:space="preserve">2014-06-01</t>
        </is>
      </c>
      <c r="N341" t="inlineStr">
        <is>
          <t xml:space="preserve">2029-05-31</t>
        </is>
      </c>
      <c r="O341" t="inlineStr">
        <is>
          <t xml:space="preserve"/>
        </is>
      </c>
      <c r="P341" s="3" t="str">
        <f>HYPERLINK("https://reporter.nih.gov/project-details/11575423","https://reporter.nih.gov/project-details/11575423")</f>
        <v>https://reporter.nih.gov/project-details/11575423</v>
      </c>
    </row>
    <row r="342">
      <c r="A342" t="inlineStr">
        <is>
          <t xml:space="preserve">2026-08-10</t>
        </is>
      </c>
      <c r="B342" t="inlineStr">
        <is>
          <t xml:space="preserve">7R01DC020457-05</t>
        </is>
      </c>
      <c r="C342" t="inlineStr">
        <is>
          <t xml:space="preserve">Optimizing Outcomes through Sequencing Parent-Mediated Interventions for Young Children with Autism</t>
        </is>
      </c>
      <c r="D342" t="inlineStr">
        <is>
          <t xml:space="preserve">Megan Y Roberts</t>
        </is>
      </c>
      <c r="E342" t="inlineStr">
        <is>
          <t xml:space="preserve">Megan Y Roberts</t>
        </is>
      </c>
      <c r="F342" t="inlineStr">
        <is>
          <t xml:space="preserve">NORTHWESTERN UNIVERSITY</t>
        </is>
      </c>
      <c r="G342" t="inlineStr">
        <is>
          <t xml:space="preserve">CHICAGO</t>
        </is>
      </c>
      <c r="H342" t="inlineStr">
        <is>
          <t xml:space="preserve">IL</t>
        </is>
      </c>
      <c r="I342" t="inlineStr">
        <is>
          <t xml:space="preserve">NIDCD</t>
        </is>
      </c>
      <c r="J342" t="inlineStr">
        <is>
          <t xml:space="preserve">National Institute on Deafness and Other Communication Disorders</t>
        </is>
      </c>
      <c r="K342" t="inlineStr">
        <is>
          <t xml:space="preserve">2026</t>
        </is>
      </c>
      <c r="L342" t="inlineStr">
        <is>
          <t xml:space="preserve">661556</t>
        </is>
      </c>
      <c r="M342" t="inlineStr">
        <is>
          <t xml:space="preserve">2022-08-01</t>
        </is>
      </c>
      <c r="N342" t="inlineStr">
        <is>
          <t xml:space="preserve">2027-07-31</t>
        </is>
      </c>
      <c r="O342" t="inlineStr">
        <is>
          <t xml:space="preserve">Behavioral</t>
        </is>
      </c>
      <c r="P342" s="3" t="str">
        <f>HYPERLINK("https://reporter.nih.gov/project-details/11395302","https://reporter.nih.gov/project-details/11395302")</f>
        <v>https://reporter.nih.gov/project-details/11395302</v>
      </c>
    </row>
    <row r="343">
      <c r="A343" t="inlineStr">
        <is>
          <t xml:space="preserve">2026-08-10</t>
        </is>
      </c>
      <c r="B343" t="inlineStr">
        <is>
          <t xml:space="preserve">1R01MH144153-01</t>
        </is>
      </c>
      <c r="C343" t="inlineStr">
        <is>
          <t xml:space="preserve">Targeting the stress response in Angelman syndrome</t>
        </is>
      </c>
      <c r="D343" t="inlineStr">
        <is>
          <t xml:space="preserve">Jason J Yi</t>
        </is>
      </c>
      <c r="E343" t="inlineStr">
        <is>
          <t xml:space="preserve">Jason J Yi</t>
        </is>
      </c>
      <c r="F343" t="inlineStr">
        <is>
          <t xml:space="preserve">WASHINGTON UNIVERSITY</t>
        </is>
      </c>
      <c r="G343" t="inlineStr">
        <is>
          <t xml:space="preserve">SAINT LOUIS</t>
        </is>
      </c>
      <c r="H343" t="inlineStr">
        <is>
          <t xml:space="preserve">MO</t>
        </is>
      </c>
      <c r="I343" t="inlineStr">
        <is>
          <t xml:space="preserve">NIMH</t>
        </is>
      </c>
      <c r="J343" t="inlineStr">
        <is>
          <t xml:space="preserve">National Institute of Mental Health</t>
        </is>
      </c>
      <c r="K343" t="inlineStr">
        <is>
          <t xml:space="preserve">2026</t>
        </is>
      </c>
      <c r="L343" t="inlineStr">
        <is>
          <t xml:space="preserve">641417</t>
        </is>
      </c>
      <c r="M343" t="inlineStr">
        <is>
          <t xml:space="preserve">2026-08-06</t>
        </is>
      </c>
      <c r="N343" t="inlineStr">
        <is>
          <t xml:space="preserve">2031-05-31</t>
        </is>
      </c>
      <c r="O343" t="inlineStr">
        <is>
          <t xml:space="preserve">Nucleic acid therapeutics, Peptide, Small molecule</t>
        </is>
      </c>
      <c r="P343" s="3" t="str">
        <f>HYPERLINK("https://reporter.nih.gov/project-details/11358877","https://reporter.nih.gov/project-details/11358877")</f>
        <v>https://reporter.nih.gov/project-details/11358877</v>
      </c>
    </row>
    <row r="344">
      <c r="A344" t="inlineStr">
        <is>
          <t xml:space="preserve">2026-08-07</t>
        </is>
      </c>
      <c r="B344" t="inlineStr">
        <is>
          <t xml:space="preserve">5F31NS139495-02</t>
        </is>
      </c>
      <c r="C344" t="inlineStr">
        <is>
          <t xml:space="preserve">The necessity of mitochondrial MDH2 for GABAergic neuron metabolism</t>
        </is>
      </c>
      <c r="D344" t="inlineStr">
        <is>
          <t xml:space="preserve">Jerica Tan</t>
        </is>
      </c>
      <c r="E344" t="inlineStr">
        <is>
          <t xml:space="preserve">Jerica Tan</t>
        </is>
      </c>
      <c r="F344" t="inlineStr">
        <is>
          <t xml:space="preserve">NORTHWESTERN UNIVERSITY</t>
        </is>
      </c>
      <c r="G344" t="inlineStr">
        <is>
          <t xml:space="preserve">CHICAGO</t>
        </is>
      </c>
      <c r="H344" t="inlineStr">
        <is>
          <t xml:space="preserve">IL</t>
        </is>
      </c>
      <c r="I344" t="inlineStr">
        <is>
          <t xml:space="preserve">NINDS</t>
        </is>
      </c>
      <c r="J344" t="inlineStr">
        <is>
          <t xml:space="preserve">National Institute of Neurological Disorders and Stroke</t>
        </is>
      </c>
      <c r="K344" t="inlineStr">
        <is>
          <t xml:space="preserve">2026</t>
        </is>
      </c>
      <c r="L344" t="inlineStr">
        <is>
          <t xml:space="preserve">46008</t>
        </is>
      </c>
      <c r="M344" t="inlineStr">
        <is>
          <t xml:space="preserve">2025-09-01</t>
        </is>
      </c>
      <c r="N344" t="inlineStr">
        <is>
          <t xml:space="preserve">2027-12-31</t>
        </is>
      </c>
      <c r="O344" t="inlineStr">
        <is>
          <t xml:space="preserve">Small molecule</t>
        </is>
      </c>
      <c r="P344" s="3" t="str">
        <f>HYPERLINK("https://reporter.nih.gov/project-details/11375848","https://reporter.nih.gov/project-details/11375848")</f>
        <v>https://reporter.nih.gov/project-details/11375848</v>
      </c>
    </row>
    <row r="345">
      <c r="A345" t="inlineStr">
        <is>
          <t xml:space="preserve">2026-08-07</t>
        </is>
      </c>
      <c r="B345" t="inlineStr">
        <is>
          <t xml:space="preserve">5F30HD119918-02</t>
        </is>
      </c>
      <c r="C345" t="inlineStr">
        <is>
          <t xml:space="preserve">Very Preterm Birth and Cortical Expansion in Early Life</t>
        </is>
      </c>
      <c r="D345" t="inlineStr">
        <is>
          <t xml:space="preserve">Lisa Gorham</t>
        </is>
      </c>
      <c r="E345" t="inlineStr">
        <is>
          <t xml:space="preserve">Lisa Gorham</t>
        </is>
      </c>
      <c r="F345" t="inlineStr">
        <is>
          <t xml:space="preserve">WASHINGTON UNIVERSITY</t>
        </is>
      </c>
      <c r="G345" t="inlineStr">
        <is>
          <t xml:space="preserve">SAINT LOUIS</t>
        </is>
      </c>
      <c r="H345" t="inlineStr">
        <is>
          <t xml:space="preserve">MO</t>
        </is>
      </c>
      <c r="I345" t="inlineStr">
        <is>
          <t xml:space="preserve">NICHD</t>
        </is>
      </c>
      <c r="J345" t="inlineStr">
        <is>
          <t xml:space="preserve">Eunice Kennedy Shriver National Institute of Child Health and Human Development</t>
        </is>
      </c>
      <c r="K345" t="inlineStr">
        <is>
          <t xml:space="preserve">2026</t>
        </is>
      </c>
      <c r="L345" t="inlineStr">
        <is>
          <t xml:space="preserve">55114</t>
        </is>
      </c>
      <c r="M345" t="inlineStr">
        <is>
          <t xml:space="preserve">2025-09-01</t>
        </is>
      </c>
      <c r="N345" t="inlineStr">
        <is>
          <t xml:space="preserve">2027-08-31</t>
        </is>
      </c>
      <c r="O345" t="inlineStr">
        <is>
          <t xml:space="preserve">Behavioral</t>
        </is>
      </c>
      <c r="P345" s="3" t="str">
        <f>HYPERLINK("https://reporter.nih.gov/project-details/11400967","https://reporter.nih.gov/project-details/11400967")</f>
        <v>https://reporter.nih.gov/project-details/11400967</v>
      </c>
    </row>
    <row r="346">
      <c r="A346" t="inlineStr">
        <is>
          <t xml:space="preserve">2026-08-07</t>
        </is>
      </c>
      <c r="B346" t="inlineStr">
        <is>
          <t xml:space="preserve">4R01HD113188-02</t>
        </is>
      </c>
      <c r="C346" t="inlineStr">
        <is>
          <t xml:space="preserve">Impact of maternal substance use on offspring neurobehavioral development</t>
        </is>
      </c>
      <c r="D346" t="inlineStr">
        <is>
          <t xml:space="preserve">Andrea Goldberg Edlow</t>
        </is>
      </c>
      <c r="E346" t="inlineStr">
        <is>
          <t xml:space="preserve">RYAN H BOGDAN; Andrea Goldberg Edlow; Jamie Lo; Elinor L. Sullivan</t>
        </is>
      </c>
      <c r="F346" t="inlineStr">
        <is>
          <t xml:space="preserve">MASSACHUSETTS GENERAL HOSPITAL</t>
        </is>
      </c>
      <c r="G346" t="inlineStr">
        <is>
          <t xml:space="preserve">BOSTON</t>
        </is>
      </c>
      <c r="H346" t="inlineStr">
        <is>
          <t xml:space="preserve">MA</t>
        </is>
      </c>
      <c r="I346" t="inlineStr">
        <is>
          <t xml:space="preserve">NICHD</t>
        </is>
      </c>
      <c r="J346" t="inlineStr">
        <is>
          <t xml:space="preserve">Eunice Kennedy Shriver National Institute of Child Health and Human Development</t>
        </is>
      </c>
      <c r="K346" t="inlineStr">
        <is>
          <t xml:space="preserve">2026</t>
        </is>
      </c>
      <c r="L346" t="inlineStr">
        <is>
          <t xml:space="preserve">1807374</t>
        </is>
      </c>
      <c r="M346" t="inlineStr">
        <is>
          <t xml:space="preserve">2023-09-01</t>
        </is>
      </c>
      <c r="N346" t="inlineStr">
        <is>
          <t xml:space="preserve">2028-08-31</t>
        </is>
      </c>
      <c r="O346" t="inlineStr">
        <is>
          <t xml:space="preserve">Small molecule</t>
        </is>
      </c>
      <c r="P346" s="3" t="str">
        <f>HYPERLINK("https://reporter.nih.gov/project-details/11473971","https://reporter.nih.gov/project-details/11473971")</f>
        <v>https://reporter.nih.gov/project-details/11473971</v>
      </c>
    </row>
    <row r="347">
      <c r="A347" t="inlineStr">
        <is>
          <t xml:space="preserve">2026-08-07</t>
        </is>
      </c>
      <c r="B347" t="inlineStr">
        <is>
          <t xml:space="preserve">5R01MH127573-05</t>
        </is>
      </c>
      <c r="C347" t="inlineStr">
        <is>
          <t xml:space="preserve">Autism Caregiver Coaching in Africa</t>
        </is>
      </c>
      <c r="D347" t="inlineStr">
        <is>
          <t xml:space="preserve">Lauren Franz</t>
        </is>
      </c>
      <c r="E347" t="inlineStr">
        <is>
          <t xml:space="preserve">Lauren Franz</t>
        </is>
      </c>
      <c r="F347" t="inlineStr">
        <is>
          <t xml:space="preserve">DUKE UNIVERSITY</t>
        </is>
      </c>
      <c r="G347" t="inlineStr">
        <is>
          <t xml:space="preserve">DURHAM</t>
        </is>
      </c>
      <c r="H347" t="inlineStr">
        <is>
          <t xml:space="preserve">NC</t>
        </is>
      </c>
      <c r="I347" t="inlineStr">
        <is>
          <t xml:space="preserve">NIMH</t>
        </is>
      </c>
      <c r="J347" t="inlineStr">
        <is>
          <t xml:space="preserve">National Institute of Mental Health</t>
        </is>
      </c>
      <c r="K347" t="inlineStr">
        <is>
          <t xml:space="preserve">2026</t>
        </is>
      </c>
      <c r="L347" t="inlineStr">
        <is>
          <t xml:space="preserve">323595</t>
        </is>
      </c>
      <c r="M347" t="inlineStr">
        <is>
          <t xml:space="preserve">2022-08-17</t>
        </is>
      </c>
      <c r="N347" t="inlineStr">
        <is>
          <t xml:space="preserve">2027-06-30</t>
        </is>
      </c>
      <c r="O347" t="inlineStr">
        <is>
          <t xml:space="preserve">Behavioral</t>
        </is>
      </c>
      <c r="P347" s="3" t="str">
        <f>HYPERLINK("https://reporter.nih.gov/project-details/11381694","https://reporter.nih.gov/project-details/11381694")</f>
        <v>https://reporter.nih.gov/project-details/11381694</v>
      </c>
    </row>
    <row r="348">
      <c r="A348" t="inlineStr">
        <is>
          <t xml:space="preserve">2026-08-07</t>
        </is>
      </c>
      <c r="B348" t="inlineStr">
        <is>
          <t xml:space="preserve">3R01NS131433-03S1</t>
        </is>
      </c>
      <c r="C348" t="inlineStr">
        <is>
          <t xml:space="preserve">LEGENNDS: Linking Epidemiology and GEnetics of Neurodevelopmental and Neurodegenerative Disorders Study</t>
        </is>
      </c>
      <c r="D348" t="inlineStr">
        <is>
          <t xml:space="preserve">Brian Kane Lee</t>
        </is>
      </c>
      <c r="E348" t="inlineStr">
        <is>
          <t xml:space="preserve">Brian Kane Lee</t>
        </is>
      </c>
      <c r="F348" t="inlineStr">
        <is>
          <t xml:space="preserve">DREXEL UNIVERSITY</t>
        </is>
      </c>
      <c r="G348" t="inlineStr">
        <is>
          <t xml:space="preserve">PHILADELPHIA</t>
        </is>
      </c>
      <c r="H348" t="inlineStr">
        <is>
          <t xml:space="preserve">PA</t>
        </is>
      </c>
      <c r="I348" t="inlineStr">
        <is>
          <t xml:space="preserve">NINDS</t>
        </is>
      </c>
      <c r="J348" t="inlineStr">
        <is>
          <t xml:space="preserve">National Institute of Neurological Disorders and Stroke</t>
        </is>
      </c>
      <c r="K348" t="inlineStr">
        <is>
          <t xml:space="preserve">2026</t>
        </is>
      </c>
      <c r="L348" t="inlineStr">
        <is>
          <t xml:space="preserve">126667</t>
        </is>
      </c>
      <c r="M348" t="inlineStr">
        <is>
          <t xml:space="preserve">2023-05-01</t>
        </is>
      </c>
      <c r="N348" t="inlineStr">
        <is>
          <t xml:space="preserve">2029-04-30</t>
        </is>
      </c>
      <c r="O348" t="inlineStr">
        <is>
          <t xml:space="preserve"/>
        </is>
      </c>
      <c r="P348" s="3" t="str">
        <f>HYPERLINK("https://reporter.nih.gov/project-details/11578723","https://reporter.nih.gov/project-details/11578723")</f>
        <v>https://reporter.nih.gov/project-details/11578723</v>
      </c>
    </row>
    <row r="349">
      <c r="A349" t="inlineStr">
        <is>
          <t xml:space="preserve">2026-08-07</t>
        </is>
      </c>
      <c r="B349" t="inlineStr">
        <is>
          <t xml:space="preserve">5F31NS139682-02</t>
        </is>
      </c>
      <c r="C349" t="inlineStr">
        <is>
          <t xml:space="preserve">Investigating the role of CELSRs, a family of adhesion-type GPCRs, in hippocampal neural circuit assembly</t>
        </is>
      </c>
      <c r="D349" t="inlineStr">
        <is>
          <t xml:space="preserve">Jaybree Lopez</t>
        </is>
      </c>
      <c r="E349" t="inlineStr">
        <is>
          <t xml:space="preserve">Jaybree Lopez</t>
        </is>
      </c>
      <c r="F349" t="inlineStr">
        <is>
          <t xml:space="preserve">VANDERBILT UNIVERSITY</t>
        </is>
      </c>
      <c r="G349" t="inlineStr">
        <is>
          <t xml:space="preserve">Nashville</t>
        </is>
      </c>
      <c r="H349" t="inlineStr">
        <is>
          <t xml:space="preserve">TN</t>
        </is>
      </c>
      <c r="I349" t="inlineStr">
        <is>
          <t xml:space="preserve">NINDS</t>
        </is>
      </c>
      <c r="J349" t="inlineStr">
        <is>
          <t xml:space="preserve">National Institute of Neurological Disorders and Stroke</t>
        </is>
      </c>
      <c r="K349" t="inlineStr">
        <is>
          <t xml:space="preserve">2026</t>
        </is>
      </c>
      <c r="L349" t="inlineStr">
        <is>
          <t xml:space="preserve">35551</t>
        </is>
      </c>
      <c r="M349" t="inlineStr">
        <is>
          <t xml:space="preserve">2025-08-01</t>
        </is>
      </c>
      <c r="N349" t="inlineStr">
        <is>
          <t xml:space="preserve">2027-07-31</t>
        </is>
      </c>
      <c r="O349" t="inlineStr">
        <is>
          <t xml:space="preserve">Viral vector, Small molecule</t>
        </is>
      </c>
      <c r="P349" s="3" t="str">
        <f>HYPERLINK("https://reporter.nih.gov/project-details/11384988","https://reporter.nih.gov/project-details/11384988")</f>
        <v>https://reporter.nih.gov/project-details/11384988</v>
      </c>
    </row>
    <row r="350">
      <c r="A350" t="inlineStr">
        <is>
          <t xml:space="preserve">2026-08-07</t>
        </is>
      </c>
      <c r="B350" t="inlineStr">
        <is>
          <t xml:space="preserve">5U24NS129945-04</t>
        </is>
      </c>
      <c r="C350" t="inlineStr">
        <is>
          <t xml:space="preserve">Dissemination of the Human Neocortical Neurosolver (HNN) software for circuit level interpretation of human MEG/EEG</t>
        </is>
      </c>
      <c r="D350" t="inlineStr">
        <is>
          <t xml:space="preserve">STEPHANIE Ruggiano JONES</t>
        </is>
      </c>
      <c r="E350" t="inlineStr">
        <is>
          <t xml:space="preserve">STEPHANIE Ruggiano JONES</t>
        </is>
      </c>
      <c r="F350" t="inlineStr">
        <is>
          <t xml:space="preserve">BROWN UNIVERSITY</t>
        </is>
      </c>
      <c r="G350" t="inlineStr">
        <is>
          <t xml:space="preserve">PROVIDENCE</t>
        </is>
      </c>
      <c r="H350" t="inlineStr">
        <is>
          <t xml:space="preserve">RI</t>
        </is>
      </c>
      <c r="I350" t="inlineStr">
        <is>
          <t xml:space="preserve">NINDS</t>
        </is>
      </c>
      <c r="J350" t="inlineStr">
        <is>
          <t xml:space="preserve">National Institute of Neurological Disorders and Stroke</t>
        </is>
      </c>
      <c r="K350" t="inlineStr">
        <is>
          <t xml:space="preserve">2026</t>
        </is>
      </c>
      <c r="L350" t="inlineStr">
        <is>
          <t xml:space="preserve">617469</t>
        </is>
      </c>
      <c r="M350" t="inlineStr">
        <is>
          <t xml:space="preserve">2023-09-01</t>
        </is>
      </c>
      <c r="N350" t="inlineStr">
        <is>
          <t xml:space="preserve">2028-07-31</t>
        </is>
      </c>
      <c r="O350" t="inlineStr">
        <is>
          <t xml:space="preserve">Device / stimulation</t>
        </is>
      </c>
      <c r="P350" s="3" t="str">
        <f>HYPERLINK("https://reporter.nih.gov/project-details/11377282","https://reporter.nih.gov/project-details/11377282")</f>
        <v>https://reporter.nih.gov/project-details/11377282</v>
      </c>
    </row>
    <row r="351">
      <c r="A351" t="inlineStr">
        <is>
          <t xml:space="preserve">2026-08-07</t>
        </is>
      </c>
      <c r="B351" t="inlineStr">
        <is>
          <t xml:space="preserve">1R56DC023104-01A1</t>
        </is>
      </c>
      <c r="C351" t="inlineStr">
        <is>
          <t xml:space="preserve">FOXP2 regulation of glutamatergic neuron subtypes in the inferior colliculus</t>
        </is>
      </c>
      <c r="D351" t="inlineStr">
        <is>
          <t xml:space="preserve">Genevieve Konopka</t>
        </is>
      </c>
      <c r="E351" t="inlineStr">
        <is>
          <t xml:space="preserve">Jay Robert Gibson; Genevieve Konopka</t>
        </is>
      </c>
      <c r="F351" t="inlineStr">
        <is>
          <t xml:space="preserve">UNIVERSITY OF CALIFORNIA LOS ANGELES</t>
        </is>
      </c>
      <c r="G351" t="inlineStr">
        <is>
          <t xml:space="preserve">LOS ANGELES</t>
        </is>
      </c>
      <c r="H351" t="inlineStr">
        <is>
          <t xml:space="preserve">CA</t>
        </is>
      </c>
      <c r="I351" t="inlineStr">
        <is>
          <t xml:space="preserve">NIDCD</t>
        </is>
      </c>
      <c r="J351" t="inlineStr">
        <is>
          <t xml:space="preserve">National Institute on Deafness and Other Communication Disorders</t>
        </is>
      </c>
      <c r="K351" t="inlineStr">
        <is>
          <t xml:space="preserve">2026</t>
        </is>
      </c>
      <c r="L351" t="inlineStr">
        <is>
          <t xml:space="preserve">284532</t>
        </is>
      </c>
      <c r="M351" t="inlineStr">
        <is>
          <t xml:space="preserve">2026-08-07</t>
        </is>
      </c>
      <c r="N351" t="inlineStr">
        <is>
          <t xml:space="preserve">2027-07-31</t>
        </is>
      </c>
      <c r="O351" t="inlineStr">
        <is>
          <t xml:space="preserve"/>
        </is>
      </c>
      <c r="P351" s="3" t="str">
        <f>HYPERLINK("https://reporter.nih.gov/project-details/11533635","https://reporter.nih.gov/project-details/11533635")</f>
        <v>https://reporter.nih.gov/project-details/11533635</v>
      </c>
    </row>
    <row r="352">
      <c r="A352" t="inlineStr">
        <is>
          <t xml:space="preserve">2026-08-07</t>
        </is>
      </c>
      <c r="B352" t="inlineStr">
        <is>
          <t xml:space="preserve">1R01DC023382-01A1</t>
        </is>
      </c>
      <c r="C352" t="inlineStr">
        <is>
          <t xml:space="preserve">Crafting Optimized teaching strategies for Caregivers Online to maximize Autistic children's language learning (COCOA)</t>
        </is>
      </c>
      <c r="D352" t="inlineStr">
        <is>
          <t xml:space="preserve">Stephanie Yoshiko Shire</t>
        </is>
      </c>
      <c r="E352" t="inlineStr">
        <is>
          <t xml:space="preserve">Stephanie Yoshiko Shire</t>
        </is>
      </c>
      <c r="F352" t="inlineStr">
        <is>
          <t xml:space="preserve">UNIVERSITY OF OREGON</t>
        </is>
      </c>
      <c r="G352" t="inlineStr">
        <is>
          <t xml:space="preserve">EUGENE</t>
        </is>
      </c>
      <c r="H352" t="inlineStr">
        <is>
          <t xml:space="preserve">OR</t>
        </is>
      </c>
      <c r="I352" t="inlineStr">
        <is>
          <t xml:space="preserve">NIDCD</t>
        </is>
      </c>
      <c r="J352" t="inlineStr">
        <is>
          <t xml:space="preserve">National Institute on Deafness and Other Communication Disorders</t>
        </is>
      </c>
      <c r="K352" t="inlineStr">
        <is>
          <t xml:space="preserve">2026</t>
        </is>
      </c>
      <c r="L352" t="inlineStr">
        <is>
          <t xml:space="preserve">659010</t>
        </is>
      </c>
      <c r="M352" t="inlineStr">
        <is>
          <t xml:space="preserve">2026-08-06</t>
        </is>
      </c>
      <c r="N352" t="inlineStr">
        <is>
          <t xml:space="preserve">2031-06-30</t>
        </is>
      </c>
      <c r="O352" t="inlineStr">
        <is>
          <t xml:space="preserve">Behavioral</t>
        </is>
      </c>
      <c r="P352" s="3" t="str">
        <f>HYPERLINK("https://reporter.nih.gov/project-details/11449151","https://reporter.nih.gov/project-details/11449151")</f>
        <v>https://reporter.nih.gov/project-details/11449151</v>
      </c>
    </row>
    <row r="353">
      <c r="A353" t="inlineStr">
        <is>
          <t xml:space="preserve">2026-08-07</t>
        </is>
      </c>
      <c r="B353" t="inlineStr">
        <is>
          <t xml:space="preserve">5K23NS140491-02</t>
        </is>
      </c>
      <c r="C353" t="inlineStr">
        <is>
          <t xml:space="preserve">Outcome measures and quantitative EEG biomarkers in SYNGAP1-related disorders</t>
        </is>
      </c>
      <c r="D353" t="inlineStr">
        <is>
          <t xml:space="preserve">Jillian Lee McKee</t>
        </is>
      </c>
      <c r="E353" t="inlineStr">
        <is>
          <t xml:space="preserve">Jillian Lee McKee</t>
        </is>
      </c>
      <c r="F353" t="inlineStr">
        <is>
          <t xml:space="preserve">CHILDREN'S HOSP OF PHILADELPHIA</t>
        </is>
      </c>
      <c r="G353" t="inlineStr">
        <is>
          <t xml:space="preserve">PHILADELPHIA</t>
        </is>
      </c>
      <c r="H353" t="inlineStr">
        <is>
          <t xml:space="preserve">PA</t>
        </is>
      </c>
      <c r="I353" t="inlineStr">
        <is>
          <t xml:space="preserve">NINDS</t>
        </is>
      </c>
      <c r="J353" t="inlineStr">
        <is>
          <t xml:space="preserve">National Institute of Neurological Disorders and Stroke</t>
        </is>
      </c>
      <c r="K353" t="inlineStr">
        <is>
          <t xml:space="preserve">2026</t>
        </is>
      </c>
      <c r="L353" t="inlineStr">
        <is>
          <t xml:space="preserve">218713</t>
        </is>
      </c>
      <c r="M353" t="inlineStr">
        <is>
          <t xml:space="preserve">2025-08-01</t>
        </is>
      </c>
      <c r="N353" t="inlineStr">
        <is>
          <t xml:space="preserve">2030-07-31</t>
        </is>
      </c>
      <c r="O353" t="inlineStr">
        <is>
          <t xml:space="preserve">Small molecule</t>
        </is>
      </c>
      <c r="P353" s="3" t="str">
        <f>HYPERLINK("https://reporter.nih.gov/project-details/11384890","https://reporter.nih.gov/project-details/11384890")</f>
        <v>https://reporter.nih.gov/project-details/11384890</v>
      </c>
    </row>
    <row r="354">
      <c r="A354" t="inlineStr">
        <is>
          <t xml:space="preserve">2026-08-07</t>
        </is>
      </c>
      <c r="B354" t="inlineStr">
        <is>
          <t xml:space="preserve">5R01DC022975-02</t>
        </is>
      </c>
      <c r="C354" t="inlineStr">
        <is>
          <t xml:space="preserve">Solid phase transition as a facilitator of olfactory receptor choice</t>
        </is>
      </c>
      <c r="D354" t="inlineStr">
        <is>
          <t xml:space="preserve">Stavros Lomvardas</t>
        </is>
      </c>
      <c r="E354" t="inlineStr">
        <is>
          <t xml:space="preserve">Stavros Lomvardas</t>
        </is>
      </c>
      <c r="F354" t="inlineStr">
        <is>
          <t xml:space="preserve">COLUMBIA UNIVERSITY HEALTH SCIENCES</t>
        </is>
      </c>
      <c r="G354" t="inlineStr">
        <is>
          <t xml:space="preserve">NEW YORK</t>
        </is>
      </c>
      <c r="H354" t="inlineStr">
        <is>
          <t xml:space="preserve">NY</t>
        </is>
      </c>
      <c r="I354" t="inlineStr">
        <is>
          <t xml:space="preserve">NIDCD</t>
        </is>
      </c>
      <c r="J354" t="inlineStr">
        <is>
          <t xml:space="preserve">National Institute on Deafness and Other Communication Disorders</t>
        </is>
      </c>
      <c r="K354" t="inlineStr">
        <is>
          <t xml:space="preserve">2026</t>
        </is>
      </c>
      <c r="L354" t="inlineStr">
        <is>
          <t xml:space="preserve">628332</t>
        </is>
      </c>
      <c r="M354" t="inlineStr">
        <is>
          <t xml:space="preserve">2025-09-01</t>
        </is>
      </c>
      <c r="N354" t="inlineStr">
        <is>
          <t xml:space="preserve">2030-08-31</t>
        </is>
      </c>
      <c r="O354" t="inlineStr">
        <is>
          <t xml:space="preserve"/>
        </is>
      </c>
      <c r="P354" s="3" t="str">
        <f>HYPERLINK("https://reporter.nih.gov/project-details/11394661","https://reporter.nih.gov/project-details/11394661")</f>
        <v>https://reporter.nih.gov/project-details/11394661</v>
      </c>
    </row>
    <row r="355">
      <c r="A355" t="inlineStr">
        <is>
          <t xml:space="preserve">2026-08-07</t>
        </is>
      </c>
      <c r="B355" t="inlineStr">
        <is>
          <t xml:space="preserve">5R01MH128813-05</t>
        </is>
      </c>
      <c r="C355" t="inlineStr">
        <is>
          <t xml:space="preserve">Genomics of Autism in Latino Ancestries</t>
        </is>
      </c>
      <c r="D355" t="inlineStr">
        <is>
          <t xml:space="preserve">Joseph D. Buxbaum</t>
        </is>
      </c>
      <c r="E355" t="inlineStr">
        <is>
          <t xml:space="preserve">Joseph D. Buxbaum</t>
        </is>
      </c>
      <c r="F355" t="inlineStr">
        <is>
          <t xml:space="preserve">ICAHN SCHOOL OF MEDICINE AT MOUNT SINAI</t>
        </is>
      </c>
      <c r="G355" t="inlineStr">
        <is>
          <t xml:space="preserve">NEW YORK</t>
        </is>
      </c>
      <c r="H355" t="inlineStr">
        <is>
          <t xml:space="preserve">NY</t>
        </is>
      </c>
      <c r="I355" t="inlineStr">
        <is>
          <t xml:space="preserve">NIMH</t>
        </is>
      </c>
      <c r="J355" t="inlineStr">
        <is>
          <t xml:space="preserve">National Institute of Mental Health</t>
        </is>
      </c>
      <c r="K355" t="inlineStr">
        <is>
          <t xml:space="preserve">2026</t>
        </is>
      </c>
      <c r="L355" t="inlineStr">
        <is>
          <t xml:space="preserve">762896</t>
        </is>
      </c>
      <c r="M355" t="inlineStr">
        <is>
          <t xml:space="preserve">2022-03-03</t>
        </is>
      </c>
      <c r="N355" t="inlineStr">
        <is>
          <t xml:space="preserve">2027-01-31</t>
        </is>
      </c>
      <c r="O355" t="inlineStr">
        <is>
          <t xml:space="preserve"/>
        </is>
      </c>
      <c r="P355" s="3" t="str">
        <f>HYPERLINK("https://reporter.nih.gov/project-details/11321165","https://reporter.nih.gov/project-details/11321165")</f>
        <v>https://reporter.nih.gov/project-details/11321165</v>
      </c>
    </row>
    <row r="356">
      <c r="A356" t="inlineStr">
        <is>
          <t xml:space="preserve">2026-08-06</t>
        </is>
      </c>
      <c r="B356" t="inlineStr">
        <is>
          <t xml:space="preserve">1F32MH143397-01A1</t>
        </is>
      </c>
      <c r="C356" t="inlineStr">
        <is>
          <t xml:space="preserve">Defining molecular pathways in monoamine circuit development using autism-related syndrome genes in zebrafish</t>
        </is>
      </c>
      <c r="D356" t="inlineStr">
        <is>
          <t xml:space="preserve">Brandon Lee Bastien</t>
        </is>
      </c>
      <c r="E356" t="inlineStr">
        <is>
          <t xml:space="preserve">Brandon Lee Bastien</t>
        </is>
      </c>
      <c r="F356" t="inlineStr">
        <is>
          <t xml:space="preserve">UNIV OF MASSACHUSETTS MED SCH WORCESTER</t>
        </is>
      </c>
      <c r="G356" t="inlineStr">
        <is>
          <t xml:space="preserve">WORCESTER</t>
        </is>
      </c>
      <c r="H356" t="inlineStr">
        <is>
          <t xml:space="preserve">MA</t>
        </is>
      </c>
      <c r="I356" t="inlineStr">
        <is>
          <t xml:space="preserve">NIMH</t>
        </is>
      </c>
      <c r="J356" t="inlineStr">
        <is>
          <t xml:space="preserve">National Institute of Mental Health</t>
        </is>
      </c>
      <c r="K356" t="inlineStr">
        <is>
          <t xml:space="preserve">2026</t>
        </is>
      </c>
      <c r="L356" t="inlineStr">
        <is>
          <t xml:space="preserve">81280</t>
        </is>
      </c>
      <c r="M356" t="inlineStr">
        <is>
          <t xml:space="preserve">2026-08-20</t>
        </is>
      </c>
      <c r="N356" t="inlineStr">
        <is>
          <t xml:space="preserve">2029-08-19</t>
        </is>
      </c>
      <c r="O356" t="inlineStr">
        <is>
          <t xml:space="preserve">Gene therapy, Small molecule</t>
        </is>
      </c>
      <c r="P356" s="3" t="str">
        <f>HYPERLINK("https://reporter.nih.gov/project-details/11461918","https://reporter.nih.gov/project-details/11461918")</f>
        <v>https://reporter.nih.gov/project-details/11461918</v>
      </c>
    </row>
    <row r="357">
      <c r="A357" t="inlineStr">
        <is>
          <t xml:space="preserve">2026-08-06</t>
        </is>
      </c>
      <c r="B357" t="inlineStr">
        <is>
          <t xml:space="preserve">5R01HD110542-04</t>
        </is>
      </c>
      <c r="C357" t="inlineStr">
        <is>
          <t xml:space="preserve">Autism in Young Children with Down Syndrome</t>
        </is>
      </c>
      <c r="D357" t="inlineStr">
        <is>
          <t xml:space="preserve">DEBORAH J FIDLER</t>
        </is>
      </c>
      <c r="E357" t="inlineStr">
        <is>
          <t xml:space="preserve">Nicole Baumer; Somer L. Bishop; DEBORAH J FIDLER</t>
        </is>
      </c>
      <c r="F357" t="inlineStr">
        <is>
          <t xml:space="preserve">COLORADO STATE UNIVERSITY</t>
        </is>
      </c>
      <c r="G357" t="inlineStr">
        <is>
          <t xml:space="preserve">FORT COLLINS</t>
        </is>
      </c>
      <c r="H357" t="inlineStr">
        <is>
          <t xml:space="preserve">CO</t>
        </is>
      </c>
      <c r="I357" t="inlineStr">
        <is>
          <t xml:space="preserve">NICHD</t>
        </is>
      </c>
      <c r="J357" t="inlineStr">
        <is>
          <t xml:space="preserve">Eunice Kennedy Shriver National Institute of Child Health and Human Development</t>
        </is>
      </c>
      <c r="K357" t="inlineStr">
        <is>
          <t xml:space="preserve">2026</t>
        </is>
      </c>
      <c r="L357" t="inlineStr">
        <is>
          <t xml:space="preserve">1200080</t>
        </is>
      </c>
      <c r="M357" t="inlineStr">
        <is>
          <t xml:space="preserve">2023-09-01</t>
        </is>
      </c>
      <c r="N357" t="inlineStr">
        <is>
          <t xml:space="preserve">2028-06-30</t>
        </is>
      </c>
      <c r="O357" t="inlineStr">
        <is>
          <t xml:space="preserve">Behavioral</t>
        </is>
      </c>
      <c r="P357" s="3" t="str">
        <f>HYPERLINK("https://reporter.nih.gov/project-details/11384091","https://reporter.nih.gov/project-details/11384091")</f>
        <v>https://reporter.nih.gov/project-details/11384091</v>
      </c>
    </row>
    <row r="358">
      <c r="A358" t="inlineStr">
        <is>
          <t xml:space="preserve">2026-08-06</t>
        </is>
      </c>
      <c r="B358" t="inlineStr">
        <is>
          <t xml:space="preserve">2R01MH118344-06A1</t>
        </is>
      </c>
      <c r="C358" t="inlineStr">
        <is>
          <t xml:space="preserve">Construction of the integrated human forebrain organoids to investigate neurodevelopmental disorders</t>
        </is>
      </c>
      <c r="D358" t="inlineStr">
        <is>
          <t xml:space="preserve">In-Hyun Park</t>
        </is>
      </c>
      <c r="E358" t="inlineStr">
        <is>
          <t xml:space="preserve">In-Hyun Park</t>
        </is>
      </c>
      <c r="F358" t="inlineStr">
        <is>
          <t xml:space="preserve">YALE UNIVERSITY</t>
        </is>
      </c>
      <c r="G358" t="inlineStr">
        <is>
          <t xml:space="preserve">NEW HAVEN</t>
        </is>
      </c>
      <c r="H358" t="inlineStr">
        <is>
          <t xml:space="preserve">CT</t>
        </is>
      </c>
      <c r="I358" t="inlineStr">
        <is>
          <t xml:space="preserve">NIMH</t>
        </is>
      </c>
      <c r="J358" t="inlineStr">
        <is>
          <t xml:space="preserve">National Institute of Mental Health</t>
        </is>
      </c>
      <c r="K358" t="inlineStr">
        <is>
          <t xml:space="preserve">2026</t>
        </is>
      </c>
      <c r="L358" t="inlineStr">
        <is>
          <t xml:space="preserve">730220</t>
        </is>
      </c>
      <c r="M358" t="inlineStr">
        <is>
          <t xml:space="preserve">2019-09-09</t>
        </is>
      </c>
      <c r="N358" t="inlineStr">
        <is>
          <t xml:space="preserve">2031-05-31</t>
        </is>
      </c>
      <c r="O358" t="inlineStr">
        <is>
          <t xml:space="preserve">Small molecule</t>
        </is>
      </c>
      <c r="P358" s="3" t="str">
        <f>HYPERLINK("https://reporter.nih.gov/project-details/11234499","https://reporter.nih.gov/project-details/11234499")</f>
        <v>https://reporter.nih.gov/project-details/11234499</v>
      </c>
    </row>
    <row r="359">
      <c r="A359" t="inlineStr">
        <is>
          <t xml:space="preserve">2026-08-06</t>
        </is>
      </c>
      <c r="B359" t="inlineStr">
        <is>
          <t xml:space="preserve">5R01EY033950-06</t>
        </is>
      </c>
      <c r="C359" t="inlineStr">
        <is>
          <t xml:space="preserve">Circuits for deviance detection in V1</t>
        </is>
      </c>
      <c r="D359" t="inlineStr">
        <is>
          <t xml:space="preserve">Jordan P Hamm</t>
        </is>
      </c>
      <c r="E359" t="inlineStr">
        <is>
          <t xml:space="preserve">Jordan P Hamm</t>
        </is>
      </c>
      <c r="F359" t="inlineStr">
        <is>
          <t xml:space="preserve">NATHAN S. KLINE INSTITUTE FOR PSYCH RES</t>
        </is>
      </c>
      <c r="G359" t="inlineStr">
        <is>
          <t xml:space="preserve">ORANGEBURG</t>
        </is>
      </c>
      <c r="H359" t="inlineStr">
        <is>
          <t xml:space="preserve">NY</t>
        </is>
      </c>
      <c r="I359" t="inlineStr">
        <is>
          <t xml:space="preserve">NEI</t>
        </is>
      </c>
      <c r="J359" t="inlineStr">
        <is>
          <t xml:space="preserve">National Eye Institute</t>
        </is>
      </c>
      <c r="K359" t="inlineStr">
        <is>
          <t xml:space="preserve">2026</t>
        </is>
      </c>
      <c r="L359" t="inlineStr">
        <is>
          <t xml:space="preserve">411533</t>
        </is>
      </c>
      <c r="M359" t="inlineStr">
        <is>
          <t xml:space="preserve">2024-10-03</t>
        </is>
      </c>
      <c r="N359" t="inlineStr">
        <is>
          <t xml:space="preserve">2027-07-31</t>
        </is>
      </c>
      <c r="O359" t="inlineStr">
        <is>
          <t xml:space="preserve">Peptide</t>
        </is>
      </c>
      <c r="P359" s="3" t="str">
        <f>HYPERLINK("https://reporter.nih.gov/project-details/11399910","https://reporter.nih.gov/project-details/11399910")</f>
        <v>https://reporter.nih.gov/project-details/11399910</v>
      </c>
    </row>
    <row r="360">
      <c r="A360" t="inlineStr">
        <is>
          <t xml:space="preserve">2026-08-06</t>
        </is>
      </c>
      <c r="B360" t="inlineStr">
        <is>
          <t xml:space="preserve">1F31MH145942-01</t>
        </is>
      </c>
      <c r="C360" t="inlineStr">
        <is>
          <t xml:space="preserve">Epigenetic regulation of serotonergic neuron subtype maturation and function by the DNA methyltransferase DNMT3A</t>
        </is>
      </c>
      <c r="D360" t="inlineStr">
        <is>
          <t xml:space="preserve">Marissa Sumathipala</t>
        </is>
      </c>
      <c r="E360" t="inlineStr">
        <is>
          <t xml:space="preserve">Marissa Sumathipala</t>
        </is>
      </c>
      <c r="F360" t="inlineStr">
        <is>
          <t xml:space="preserve">HARVARD MEDICAL SCHOOL</t>
        </is>
      </c>
      <c r="G360" t="inlineStr">
        <is>
          <t xml:space="preserve">BOSTON</t>
        </is>
      </c>
      <c r="H360" t="inlineStr">
        <is>
          <t xml:space="preserve">MA</t>
        </is>
      </c>
      <c r="I360" t="inlineStr">
        <is>
          <t xml:space="preserve">NIMH</t>
        </is>
      </c>
      <c r="J360" t="inlineStr">
        <is>
          <t xml:space="preserve">National Institute of Mental Health</t>
        </is>
      </c>
      <c r="K360" t="inlineStr">
        <is>
          <t xml:space="preserve">2026</t>
        </is>
      </c>
      <c r="L360" t="inlineStr">
        <is>
          <t xml:space="preserve">43325</t>
        </is>
      </c>
      <c r="M360" t="inlineStr">
        <is>
          <t xml:space="preserve">2026-09-01</t>
        </is>
      </c>
      <c r="N360" t="inlineStr">
        <is>
          <t xml:space="preserve">2029-08-31</t>
        </is>
      </c>
      <c r="O360" t="inlineStr">
        <is>
          <t xml:space="preserve">Antibody</t>
        </is>
      </c>
      <c r="P360" s="3" t="str">
        <f>HYPERLINK("https://reporter.nih.gov/project-details/11458455","https://reporter.nih.gov/project-details/11458455")</f>
        <v>https://reporter.nih.gov/project-details/11458455</v>
      </c>
    </row>
    <row r="361">
      <c r="A361" t="inlineStr">
        <is>
          <t xml:space="preserve">2026-08-06</t>
        </is>
      </c>
      <c r="B361" t="inlineStr">
        <is>
          <t xml:space="preserve">1F31MH143445-01A1</t>
        </is>
      </c>
      <c r="C361" t="inlineStr">
        <is>
          <t xml:space="preserve">The Impact of DNA Methylation on Microglial Innate Immune Memory Following Prenatal Immune Activation</t>
        </is>
      </c>
      <c r="D361" t="inlineStr">
        <is>
          <t xml:space="preserve">Sydney Camfield</t>
        </is>
      </c>
      <c r="E361" t="inlineStr">
        <is>
          <t xml:space="preserve">Sydney Camfield</t>
        </is>
      </c>
      <c r="F361" t="inlineStr">
        <is>
          <t xml:space="preserve">UNIVERSITY OF OKLAHOMA HLTH SCIENCES CTR</t>
        </is>
      </c>
      <c r="G361" t="inlineStr">
        <is>
          <t xml:space="preserve">OKLAHOMA CITY</t>
        </is>
      </c>
      <c r="H361" t="inlineStr">
        <is>
          <t xml:space="preserve">OK</t>
        </is>
      </c>
      <c r="I361" t="inlineStr">
        <is>
          <t xml:space="preserve">NIMH</t>
        </is>
      </c>
      <c r="J361" t="inlineStr">
        <is>
          <t xml:space="preserve">National Institute of Mental Health</t>
        </is>
      </c>
      <c r="K361" t="inlineStr">
        <is>
          <t xml:space="preserve">2026</t>
        </is>
      </c>
      <c r="L361" t="inlineStr">
        <is>
          <t xml:space="preserve">47914</t>
        </is>
      </c>
      <c r="M361" t="inlineStr">
        <is>
          <t xml:space="preserve">2026-09-01</t>
        </is>
      </c>
      <c r="N361" t="inlineStr">
        <is>
          <t xml:space="preserve">2029-08-31</t>
        </is>
      </c>
      <c r="O361" t="inlineStr">
        <is>
          <t xml:space="preserve">Antibody</t>
        </is>
      </c>
      <c r="P361" s="3" t="str">
        <f>HYPERLINK("https://reporter.nih.gov/project-details/11462499","https://reporter.nih.gov/project-details/11462499")</f>
        <v>https://reporter.nih.gov/project-details/11462499</v>
      </c>
    </row>
    <row r="362">
      <c r="A362" t="inlineStr">
        <is>
          <t xml:space="preserve">2026-08-06</t>
        </is>
      </c>
      <c r="B362" t="inlineStr">
        <is>
          <t xml:space="preserve">5K99HG014240-02</t>
        </is>
      </c>
      <c r="C362" t="inlineStr">
        <is>
          <t xml:space="preserve">Functional Mapping of Translation Initiation Kinetics to Quantify the Protein-Coding Capacity of the Human Genome</t>
        </is>
      </c>
      <c r="D362" t="inlineStr">
        <is>
          <t xml:space="preserve">Yonatan Chemla</t>
        </is>
      </c>
      <c r="E362" t="inlineStr">
        <is>
          <t xml:space="preserve">Yonatan Chemla</t>
        </is>
      </c>
      <c r="F362" t="inlineStr">
        <is>
          <t xml:space="preserve">MASSACHUSETTS INSTITUTE OF TECHNOLOGY</t>
        </is>
      </c>
      <c r="G362" t="inlineStr">
        <is>
          <t xml:space="preserve">CAMBRIDGE</t>
        </is>
      </c>
      <c r="H362" t="inlineStr">
        <is>
          <t xml:space="preserve">MA</t>
        </is>
      </c>
      <c r="I362" t="inlineStr">
        <is>
          <t xml:space="preserve">NHGRI</t>
        </is>
      </c>
      <c r="J362" t="inlineStr">
        <is>
          <t xml:space="preserve">National Human Genome Research Institute</t>
        </is>
      </c>
      <c r="K362" t="inlineStr">
        <is>
          <t xml:space="preserve">2026</t>
        </is>
      </c>
      <c r="L362" t="inlineStr">
        <is>
          <t xml:space="preserve">133332</t>
        </is>
      </c>
      <c r="M362" t="inlineStr">
        <is>
          <t xml:space="preserve">2025-08-18</t>
        </is>
      </c>
      <c r="N362" t="inlineStr">
        <is>
          <t xml:space="preserve">2027-07-31</t>
        </is>
      </c>
      <c r="O362" t="inlineStr">
        <is>
          <t xml:space="preserve">Nucleic acid therapeutics, Peptide, Small molecule</t>
        </is>
      </c>
      <c r="P362" s="3" t="str">
        <f>HYPERLINK("https://reporter.nih.gov/project-details/11395231","https://reporter.nih.gov/project-details/11395231")</f>
        <v>https://reporter.nih.gov/project-details/11395231</v>
      </c>
    </row>
    <row r="363">
      <c r="A363" t="inlineStr">
        <is>
          <t xml:space="preserve">2026-08-06</t>
        </is>
      </c>
      <c r="B363" t="inlineStr">
        <is>
          <t xml:space="preserve">5DP1AT013723-02</t>
        </is>
      </c>
      <c r="C363" t="inlineStr">
        <is>
          <t xml:space="preserve">Role of social touch and social memory in organizing naked mole-rat colonies</t>
        </is>
      </c>
      <c r="D363" t="inlineStr">
        <is>
          <t xml:space="preserve">Ishmail John Abdus-Saboor</t>
        </is>
      </c>
      <c r="E363" t="inlineStr">
        <is>
          <t xml:space="preserve">Ishmail John Abdus-Saboor</t>
        </is>
      </c>
      <c r="F363" t="inlineStr">
        <is>
          <t xml:space="preserve">COLUMBIA UNIV NEW YORK MORNINGSIDE</t>
        </is>
      </c>
      <c r="G363" t="inlineStr">
        <is>
          <t xml:space="preserve">NEW YORK</t>
        </is>
      </c>
      <c r="H363" t="inlineStr">
        <is>
          <t xml:space="preserve">NY</t>
        </is>
      </c>
      <c r="I363" t="inlineStr">
        <is>
          <t xml:space="preserve">NCCIH</t>
        </is>
      </c>
      <c r="J363" t="inlineStr">
        <is>
          <t xml:space="preserve">National Center for Complementary and Integrative Health</t>
        </is>
      </c>
      <c r="K363" t="inlineStr">
        <is>
          <t xml:space="preserve">2026</t>
        </is>
      </c>
      <c r="L363" t="inlineStr">
        <is>
          <t xml:space="preserve">1151500</t>
        </is>
      </c>
      <c r="M363" t="inlineStr">
        <is>
          <t xml:space="preserve">2025-08-14</t>
        </is>
      </c>
      <c r="N363" t="inlineStr">
        <is>
          <t xml:space="preserve">2030-07-31</t>
        </is>
      </c>
      <c r="O363" t="inlineStr">
        <is>
          <t xml:space="preserve"/>
        </is>
      </c>
      <c r="P363" s="3" t="str">
        <f>HYPERLINK("https://reporter.nih.gov/project-details/11393020","https://reporter.nih.gov/project-details/11393020")</f>
        <v>https://reporter.nih.gov/project-details/11393020</v>
      </c>
    </row>
    <row r="364">
      <c r="A364" t="inlineStr">
        <is>
          <t xml:space="preserve">2026-08-06</t>
        </is>
      </c>
      <c r="B364" t="inlineStr">
        <is>
          <t xml:space="preserve">5UH3DE033184-04</t>
        </is>
      </c>
      <c r="C364" t="inlineStr">
        <is>
          <t xml:space="preserve">Testing a Mobile App to Improve Toothbrushing Skills and Habits in Teens with Autism.</t>
        </is>
      </c>
      <c r="D364" t="inlineStr">
        <is>
          <t xml:space="preserve">Amy S Kim</t>
        </is>
      </c>
      <c r="E364" t="inlineStr">
        <is>
          <t xml:space="preserve">Amy S Kim</t>
        </is>
      </c>
      <c r="F364" t="inlineStr">
        <is>
          <t xml:space="preserve">UNIVERSITY OF WASHINGTON</t>
        </is>
      </c>
      <c r="G364" t="inlineStr">
        <is>
          <t xml:space="preserve">SEATTLE</t>
        </is>
      </c>
      <c r="H364" t="inlineStr">
        <is>
          <t xml:space="preserve">WA</t>
        </is>
      </c>
      <c r="I364" t="inlineStr">
        <is>
          <t xml:space="preserve">NIDCR</t>
        </is>
      </c>
      <c r="J364" t="inlineStr">
        <is>
          <t xml:space="preserve">National Institute of Dental and Craniofacial Research</t>
        </is>
      </c>
      <c r="K364" t="inlineStr">
        <is>
          <t xml:space="preserve">2026</t>
        </is>
      </c>
      <c r="L364" t="inlineStr">
        <is>
          <t xml:space="preserve">707108</t>
        </is>
      </c>
      <c r="M364" t="inlineStr">
        <is>
          <t xml:space="preserve">2023-08-15</t>
        </is>
      </c>
      <c r="N364" t="inlineStr">
        <is>
          <t xml:space="preserve">2029-07-31</t>
        </is>
      </c>
      <c r="O364" t="inlineStr">
        <is>
          <t xml:space="preserve">Device / stimulation, Behavioral</t>
        </is>
      </c>
      <c r="P364" s="3" t="str">
        <f>HYPERLINK("https://reporter.nih.gov/project-details/11392492","https://reporter.nih.gov/project-details/11392492")</f>
        <v>https://reporter.nih.gov/project-details/11392492</v>
      </c>
    </row>
    <row r="365">
      <c r="A365" t="inlineStr">
        <is>
          <t xml:space="preserve">2026-08-06</t>
        </is>
      </c>
      <c r="B365" t="inlineStr">
        <is>
          <t xml:space="preserve">1R21HD122030-01</t>
        </is>
      </c>
      <c r="C365" t="inlineStr">
        <is>
          <t xml:space="preserve">In Vivo Profiling of miRNA Mis-Targeting by LESKRES-Associated AGO2 Mutants</t>
        </is>
      </c>
      <c r="D365" t="inlineStr">
        <is>
          <t xml:space="preserve">Daniel Cifuentes</t>
        </is>
      </c>
      <c r="E365" t="inlineStr">
        <is>
          <t xml:space="preserve">Daniel Cifuentes</t>
        </is>
      </c>
      <c r="F365" t="inlineStr">
        <is>
          <t xml:space="preserve">BOSTON UNIVERSITY MEDICAL CAMPUS</t>
        </is>
      </c>
      <c r="G365" t="inlineStr">
        <is>
          <t xml:space="preserve">BOSTON</t>
        </is>
      </c>
      <c r="H365" t="inlineStr">
        <is>
          <t xml:space="preserve">MA</t>
        </is>
      </c>
      <c r="I365" t="inlineStr">
        <is>
          <t xml:space="preserve">NICHD</t>
        </is>
      </c>
      <c r="J365" t="inlineStr">
        <is>
          <t xml:space="preserve">Eunice Kennedy Shriver National Institute of Child Health and Human Development</t>
        </is>
      </c>
      <c r="K365" t="inlineStr">
        <is>
          <t xml:space="preserve">2026</t>
        </is>
      </c>
      <c r="L365" t="inlineStr">
        <is>
          <t xml:space="preserve">449625</t>
        </is>
      </c>
      <c r="M365" t="inlineStr">
        <is>
          <t xml:space="preserve">2026-09-01</t>
        </is>
      </c>
      <c r="N365" t="inlineStr">
        <is>
          <t xml:space="preserve">2028-08-31</t>
        </is>
      </c>
      <c r="O365" t="inlineStr">
        <is>
          <t xml:space="preserve">Nucleic acid therapeutics</t>
        </is>
      </c>
      <c r="P365" s="3" t="str">
        <f>HYPERLINK("https://reporter.nih.gov/project-details/11356250","https://reporter.nih.gov/project-details/11356250")</f>
        <v>https://reporter.nih.gov/project-details/11356250</v>
      </c>
    </row>
    <row r="366">
      <c r="A366" t="inlineStr">
        <is>
          <t xml:space="preserve">2026-08-06</t>
        </is>
      </c>
      <c r="B366" t="inlineStr">
        <is>
          <t xml:space="preserve">1R01MH143222-01</t>
        </is>
      </c>
      <c r="C366" t="inlineStr">
        <is>
          <t xml:space="preserve">A multi-omic atlas of dendritic spine morphometry across postnatal development in neurotypical and ASD subjects (Multi-omic ASD)</t>
        </is>
      </c>
      <c r="D366" t="inlineStr">
        <is>
          <t xml:space="preserve">Matthew L MacDonald</t>
        </is>
      </c>
      <c r="E366" t="inlineStr">
        <is>
          <t xml:space="preserve">KENNETH N FISH; Michael Gandal; Matthew L MacDonald; Marianne L Seney</t>
        </is>
      </c>
      <c r="F366" t="inlineStr">
        <is>
          <t xml:space="preserve">UNIVERSITY OF PITTSBURGH AT PITTSBURGH</t>
        </is>
      </c>
      <c r="G366" t="inlineStr">
        <is>
          <t xml:space="preserve">PITTSBURGH</t>
        </is>
      </c>
      <c r="H366" t="inlineStr">
        <is>
          <t xml:space="preserve">PA</t>
        </is>
      </c>
      <c r="I366" t="inlineStr">
        <is>
          <t xml:space="preserve">NIMH</t>
        </is>
      </c>
      <c r="J366" t="inlineStr">
        <is>
          <t xml:space="preserve">National Institute of Mental Health</t>
        </is>
      </c>
      <c r="K366" t="inlineStr">
        <is>
          <t xml:space="preserve">2026</t>
        </is>
      </c>
      <c r="L366" t="inlineStr">
        <is>
          <t xml:space="preserve">751430</t>
        </is>
      </c>
      <c r="M366" t="inlineStr">
        <is>
          <t xml:space="preserve">2026-08-04</t>
        </is>
      </c>
      <c r="N366" t="inlineStr">
        <is>
          <t xml:space="preserve">2031-05-31</t>
        </is>
      </c>
      <c r="O366" t="inlineStr">
        <is>
          <t xml:space="preserve"/>
        </is>
      </c>
      <c r="P366" s="3" t="str">
        <f>HYPERLINK("https://reporter.nih.gov/project-details/11300670","https://reporter.nih.gov/project-details/11300670")</f>
        <v>https://reporter.nih.gov/project-details/11300670</v>
      </c>
    </row>
    <row r="367">
      <c r="A367" t="inlineStr">
        <is>
          <t xml:space="preserve">2026-08-06</t>
        </is>
      </c>
      <c r="B367" t="inlineStr">
        <is>
          <t xml:space="preserve">5R01HD107140-05</t>
        </is>
      </c>
      <c r="C367" t="inlineStr">
        <is>
          <t xml:space="preserve">Maternal SARS-CoV-2 infection, placenta biology, and neurodevelopmental outcomes in the offspring</t>
        </is>
      </c>
      <c r="D367" t="inlineStr">
        <is>
          <t xml:space="preserve">Gianluca Ursini</t>
        </is>
      </c>
      <c r="E367" t="inlineStr">
        <is>
          <t xml:space="preserve">Gianluca Ursini</t>
        </is>
      </c>
      <c r="F367" t="inlineStr">
        <is>
          <t xml:space="preserve">LIEBER INSTITUTE, INC.</t>
        </is>
      </c>
      <c r="G367" t="inlineStr">
        <is>
          <t xml:space="preserve">BALTIMORE</t>
        </is>
      </c>
      <c r="H367" t="inlineStr">
        <is>
          <t xml:space="preserve">MD</t>
        </is>
      </c>
      <c r="I367" t="inlineStr">
        <is>
          <t xml:space="preserve">NICHD</t>
        </is>
      </c>
      <c r="J367" t="inlineStr">
        <is>
          <t xml:space="preserve">Eunice Kennedy Shriver National Institute of Child Health and Human Development</t>
        </is>
      </c>
      <c r="K367" t="inlineStr">
        <is>
          <t xml:space="preserve">2026</t>
        </is>
      </c>
      <c r="L367" t="inlineStr">
        <is>
          <t xml:space="preserve">1460609</t>
        </is>
      </c>
      <c r="M367" t="inlineStr">
        <is>
          <t xml:space="preserve">2022-09-05</t>
        </is>
      </c>
      <c r="N367" t="inlineStr">
        <is>
          <t xml:space="preserve">2027-07-31</t>
        </is>
      </c>
      <c r="O367" t="inlineStr">
        <is>
          <t xml:space="preserve">Peptide</t>
        </is>
      </c>
      <c r="P367" s="3" t="str">
        <f>HYPERLINK("https://reporter.nih.gov/project-details/11402254","https://reporter.nih.gov/project-details/11402254")</f>
        <v>https://reporter.nih.gov/project-details/11402254</v>
      </c>
    </row>
    <row r="368">
      <c r="A368" t="inlineStr">
        <is>
          <t xml:space="preserve">2026-08-05</t>
        </is>
      </c>
      <c r="B368" t="inlineStr">
        <is>
          <t xml:space="preserve">5F31CA294623-02</t>
        </is>
      </c>
      <c r="C368" t="inlineStr">
        <is>
          <t xml:space="preserve">The role of SUV39H1 in maintaining heterochromatin architecture and identity in Acute Myeloid Leukemia</t>
        </is>
      </c>
      <c r="D368" t="inlineStr">
        <is>
          <t xml:space="preserve">Josiah Hiu-yuen Wong</t>
        </is>
      </c>
      <c r="E368" t="inlineStr">
        <is>
          <t xml:space="preserve">Josiah Hiu-yuen Wong</t>
        </is>
      </c>
      <c r="F368" t="inlineStr">
        <is>
          <t xml:space="preserve">NORTHWESTERN UNIVERSITY</t>
        </is>
      </c>
      <c r="G368" t="inlineStr">
        <is>
          <t xml:space="preserve">CHICAGO</t>
        </is>
      </c>
      <c r="H368" t="inlineStr">
        <is>
          <t xml:space="preserve">IL</t>
        </is>
      </c>
      <c r="I368" t="inlineStr">
        <is>
          <t xml:space="preserve">NCI</t>
        </is>
      </c>
      <c r="J368" t="inlineStr">
        <is>
          <t xml:space="preserve">National Cancer Institute</t>
        </is>
      </c>
      <c r="K368" t="inlineStr">
        <is>
          <t xml:space="preserve">2026</t>
        </is>
      </c>
      <c r="L368" t="inlineStr">
        <is>
          <t xml:space="preserve">45327</t>
        </is>
      </c>
      <c r="M368" t="inlineStr">
        <is>
          <t xml:space="preserve">2025-09-01</t>
        </is>
      </c>
      <c r="N368" t="inlineStr">
        <is>
          <t xml:space="preserve">2028-08-31</t>
        </is>
      </c>
      <c r="O368" t="inlineStr">
        <is>
          <t xml:space="preserve">Gene therapy</t>
        </is>
      </c>
      <c r="P368" s="3" t="str">
        <f>HYPERLINK("https://reporter.nih.gov/project-details/11375858","https://reporter.nih.gov/project-details/11375858")</f>
        <v>https://reporter.nih.gov/project-details/11375858</v>
      </c>
    </row>
    <row r="369">
      <c r="A369" t="inlineStr">
        <is>
          <t xml:space="preserve">2026-08-05</t>
        </is>
      </c>
      <c r="B369" t="inlineStr">
        <is>
          <t xml:space="preserve">5R01DC018055-07</t>
        </is>
      </c>
      <c r="C369" t="inlineStr">
        <is>
          <t xml:space="preserve">Temporal Pattern Perception Mechanisms for Acoustic Communication</t>
        </is>
      </c>
      <c r="D369" t="inlineStr">
        <is>
          <t xml:space="preserve">TIMOTHY Q GENTNER</t>
        </is>
      </c>
      <c r="E369" t="inlineStr">
        <is>
          <t xml:space="preserve">TIMOTHY Q GENTNER</t>
        </is>
      </c>
      <c r="F369" t="inlineStr">
        <is>
          <t xml:space="preserve">UNIVERSITY OF CALIFORNIA, SAN DIEGO</t>
        </is>
      </c>
      <c r="G369" t="inlineStr">
        <is>
          <t xml:space="preserve">LA JOLLA</t>
        </is>
      </c>
      <c r="H369" t="inlineStr">
        <is>
          <t xml:space="preserve">CA</t>
        </is>
      </c>
      <c r="I369" t="inlineStr">
        <is>
          <t xml:space="preserve">NIDCD</t>
        </is>
      </c>
      <c r="J369" t="inlineStr">
        <is>
          <t xml:space="preserve">National Institute on Deafness and Other Communication Disorders</t>
        </is>
      </c>
      <c r="K369" t="inlineStr">
        <is>
          <t xml:space="preserve">2026</t>
        </is>
      </c>
      <c r="L369" t="inlineStr">
        <is>
          <t xml:space="preserve">437040</t>
        </is>
      </c>
      <c r="M369" t="inlineStr">
        <is>
          <t xml:space="preserve">2019-06-01</t>
        </is>
      </c>
      <c r="N369" t="inlineStr">
        <is>
          <t xml:space="preserve">2030-07-31</t>
        </is>
      </c>
      <c r="O369" t="inlineStr">
        <is>
          <t xml:space="preserve"/>
        </is>
      </c>
      <c r="P369" s="3" t="str">
        <f>HYPERLINK("https://reporter.nih.gov/project-details/11384184","https://reporter.nih.gov/project-details/11384184")</f>
        <v>https://reporter.nih.gov/project-details/11384184</v>
      </c>
    </row>
    <row r="370">
      <c r="A370" t="inlineStr">
        <is>
          <t xml:space="preserve">2026-08-05</t>
        </is>
      </c>
      <c r="B370" t="inlineStr">
        <is>
          <t xml:space="preserve">5R01NS147739-02</t>
        </is>
      </c>
      <c r="C370" t="inlineStr">
        <is>
          <t xml:space="preserve">CRCNS: The Circuit Mechanism of Sensorimotor Predictive Processing for Active Touch</t>
        </is>
      </c>
      <c r="D370" t="inlineStr">
        <is>
          <t xml:space="preserve">Hannah Choi</t>
        </is>
      </c>
      <c r="E370" t="inlineStr">
        <is>
          <t xml:space="preserve">Hannah Choi; Christopher Rodgers</t>
        </is>
      </c>
      <c r="F370" t="inlineStr">
        <is>
          <t xml:space="preserve">GEORGIA INSTITUTE OF TECHNOLOGY</t>
        </is>
      </c>
      <c r="G370" t="inlineStr">
        <is>
          <t xml:space="preserve">ATLANTA</t>
        </is>
      </c>
      <c r="H370" t="inlineStr">
        <is>
          <t xml:space="preserve">GA</t>
        </is>
      </c>
      <c r="I370" t="inlineStr">
        <is>
          <t xml:space="preserve">NINDS</t>
        </is>
      </c>
      <c r="J370" t="inlineStr">
        <is>
          <t xml:space="preserve">National Institute of Neurological Disorders and Stroke</t>
        </is>
      </c>
      <c r="K370" t="inlineStr">
        <is>
          <t xml:space="preserve">2026</t>
        </is>
      </c>
      <c r="L370" t="inlineStr">
        <is>
          <t xml:space="preserve">376833</t>
        </is>
      </c>
      <c r="M370" t="inlineStr">
        <is>
          <t xml:space="preserve">2025-09-01</t>
        </is>
      </c>
      <c r="N370" t="inlineStr">
        <is>
          <t xml:space="preserve">2030-08-31</t>
        </is>
      </c>
      <c r="O370" t="inlineStr">
        <is>
          <t xml:space="preserve"/>
        </is>
      </c>
      <c r="P370" s="3" t="str">
        <f>HYPERLINK("https://reporter.nih.gov/project-details/11383127","https://reporter.nih.gov/project-details/11383127")</f>
        <v>https://reporter.nih.gov/project-details/11383127</v>
      </c>
    </row>
    <row r="371">
      <c r="A371" t="inlineStr">
        <is>
          <t xml:space="preserve">2026-08-05</t>
        </is>
      </c>
      <c r="B371" t="inlineStr">
        <is>
          <t xml:space="preserve">1K99NS144515-01A1</t>
        </is>
      </c>
      <c r="C371" t="inlineStr">
        <is>
          <t xml:space="preserve">Quantifying Folate Receptor Binding Potential in the Human Choroid Plexus with MRI-PET</t>
        </is>
      </c>
      <c r="D371" t="inlineStr">
        <is>
          <t xml:space="preserve">Elisa Guma</t>
        </is>
      </c>
      <c r="E371" t="inlineStr">
        <is>
          <t xml:space="preserve">Elisa Guma</t>
        </is>
      </c>
      <c r="F371" t="inlineStr">
        <is>
          <t xml:space="preserve">MASSACHUSETTS GENERAL HOSPITAL</t>
        </is>
      </c>
      <c r="G371" t="inlineStr">
        <is>
          <t xml:space="preserve">BOSTON</t>
        </is>
      </c>
      <c r="H371" t="inlineStr">
        <is>
          <t xml:space="preserve">MA</t>
        </is>
      </c>
      <c r="I371" t="inlineStr">
        <is>
          <t xml:space="preserve">NINDS</t>
        </is>
      </c>
      <c r="J371" t="inlineStr">
        <is>
          <t xml:space="preserve">National Institute of Neurological Disorders and Stroke</t>
        </is>
      </c>
      <c r="K371" t="inlineStr">
        <is>
          <t xml:space="preserve">2026</t>
        </is>
      </c>
      <c r="L371" t="inlineStr">
        <is>
          <t xml:space="preserve">129330</t>
        </is>
      </c>
      <c r="M371" t="inlineStr">
        <is>
          <t xml:space="preserve">2026-08-06</t>
        </is>
      </c>
      <c r="N371" t="inlineStr">
        <is>
          <t xml:space="preserve">2028-07-31</t>
        </is>
      </c>
      <c r="O371" t="inlineStr">
        <is>
          <t xml:space="preserve">Antibody</t>
        </is>
      </c>
      <c r="P371" s="3" t="str">
        <f>HYPERLINK("https://reporter.nih.gov/project-details/11452228","https://reporter.nih.gov/project-details/11452228")</f>
        <v>https://reporter.nih.gov/project-details/11452228</v>
      </c>
    </row>
    <row r="372">
      <c r="A372" t="inlineStr">
        <is>
          <t xml:space="preserve">2026-08-05</t>
        </is>
      </c>
      <c r="B372" t="inlineStr">
        <is>
          <t xml:space="preserve">5K01AI182449-03</t>
        </is>
      </c>
      <c r="C372" t="inlineStr">
        <is>
          <t xml:space="preserve">Brain and behavioral alterations in a nonhuman primate model of maternal immune activation: mPFC-amygdala circuitry, neuroinflammation, and socioemotional development</t>
        </is>
      </c>
      <c r="D372" t="inlineStr">
        <is>
          <t xml:space="preserve">Kari L Hanson</t>
        </is>
      </c>
      <c r="E372" t="inlineStr">
        <is>
          <t xml:space="preserve">Kari L Hanson</t>
        </is>
      </c>
      <c r="F372" t="inlineStr">
        <is>
          <t xml:space="preserve">UNIVERSITY OF CALIFORNIA AT DAVIS</t>
        </is>
      </c>
      <c r="G372" t="inlineStr">
        <is>
          <t xml:space="preserve">DAVIS</t>
        </is>
      </c>
      <c r="H372" t="inlineStr">
        <is>
          <t xml:space="preserve">CA</t>
        </is>
      </c>
      <c r="I372" t="inlineStr">
        <is>
          <t xml:space="preserve">NIAID</t>
        </is>
      </c>
      <c r="J372" t="inlineStr">
        <is>
          <t xml:space="preserve">National Institute of Allergy and Infectious Diseases</t>
        </is>
      </c>
      <c r="K372" t="inlineStr">
        <is>
          <t xml:space="preserve">2026</t>
        </is>
      </c>
      <c r="L372" t="inlineStr">
        <is>
          <t xml:space="preserve">221805</t>
        </is>
      </c>
      <c r="M372" t="inlineStr">
        <is>
          <t xml:space="preserve">2024-08-01</t>
        </is>
      </c>
      <c r="N372" t="inlineStr">
        <is>
          <t xml:space="preserve">2029-07-31</t>
        </is>
      </c>
      <c r="O372" t="inlineStr">
        <is>
          <t xml:space="preserve"/>
        </is>
      </c>
      <c r="P372" s="3" t="str">
        <f>HYPERLINK("https://reporter.nih.gov/project-details/11375045","https://reporter.nih.gov/project-details/11375045")</f>
        <v>https://reporter.nih.gov/project-details/11375045</v>
      </c>
    </row>
    <row r="373">
      <c r="A373" t="inlineStr">
        <is>
          <t xml:space="preserve">2026-08-05</t>
        </is>
      </c>
      <c r="B373" t="inlineStr">
        <is>
          <t xml:space="preserve">1R01MH144622-01</t>
        </is>
      </c>
      <c r="C373" t="inlineStr">
        <is>
          <t xml:space="preserve">Changing Developmental Trajectories through Early Executive Function Intervention in Early Childhood Education</t>
        </is>
      </c>
      <c r="D373" t="inlineStr">
        <is>
          <t xml:space="preserve">Allison Ratto</t>
        </is>
      </c>
      <c r="E373" t="inlineStr">
        <is>
          <t xml:space="preserve">Allison Ratto</t>
        </is>
      </c>
      <c r="F373" t="inlineStr">
        <is>
          <t xml:space="preserve">CHILDREN'S RESEARCH INSTITUTE</t>
        </is>
      </c>
      <c r="G373" t="inlineStr">
        <is>
          <t xml:space="preserve">WASHINGTON</t>
        </is>
      </c>
      <c r="H373" t="inlineStr">
        <is>
          <t xml:space="preserve">DC</t>
        </is>
      </c>
      <c r="I373" t="inlineStr">
        <is>
          <t xml:space="preserve">NIMH</t>
        </is>
      </c>
      <c r="J373" t="inlineStr">
        <is>
          <t xml:space="preserve">National Institute of Mental Health</t>
        </is>
      </c>
      <c r="K373" t="inlineStr">
        <is>
          <t xml:space="preserve">2026</t>
        </is>
      </c>
      <c r="L373" t="inlineStr">
        <is>
          <t xml:space="preserve">479144</t>
        </is>
      </c>
      <c r="M373" t="inlineStr">
        <is>
          <t xml:space="preserve">2026-08-05</t>
        </is>
      </c>
      <c r="N373" t="inlineStr">
        <is>
          <t xml:space="preserve">2029-04-30</t>
        </is>
      </c>
      <c r="O373" t="inlineStr">
        <is>
          <t xml:space="preserve">Behavioral</t>
        </is>
      </c>
      <c r="P373" s="3" t="str">
        <f>HYPERLINK("https://reporter.nih.gov/project-details/11354839","https://reporter.nih.gov/project-details/11354839")</f>
        <v>https://reporter.nih.gov/project-details/11354839</v>
      </c>
    </row>
    <row r="374">
      <c r="A374" t="inlineStr">
        <is>
          <t xml:space="preserve">2026-08-05</t>
        </is>
      </c>
      <c r="B374" t="inlineStr">
        <is>
          <t xml:space="preserve">1R21MH143121-01A1</t>
        </is>
      </c>
      <c r="C374" t="inlineStr">
        <is>
          <t xml:space="preserve">Decoding mPFC Plasticity Across Life Stages</t>
        </is>
      </c>
      <c r="D374" t="inlineStr">
        <is>
          <t xml:space="preserve">John R Huguenard</t>
        </is>
      </c>
      <c r="E374" t="inlineStr">
        <is>
          <t xml:space="preserve">John R Huguenard</t>
        </is>
      </c>
      <c r="F374" t="inlineStr">
        <is>
          <t xml:space="preserve">STANFORD UNIVERSITY</t>
        </is>
      </c>
      <c r="G374" t="inlineStr">
        <is>
          <t xml:space="preserve">STANFORD</t>
        </is>
      </c>
      <c r="H374" t="inlineStr">
        <is>
          <t xml:space="preserve">CA</t>
        </is>
      </c>
      <c r="I374" t="inlineStr">
        <is>
          <t xml:space="preserve">NIMH</t>
        </is>
      </c>
      <c r="J374" t="inlineStr">
        <is>
          <t xml:space="preserve">National Institute of Mental Health</t>
        </is>
      </c>
      <c r="K374" t="inlineStr">
        <is>
          <t xml:space="preserve">2026</t>
        </is>
      </c>
      <c r="L374" t="inlineStr">
        <is>
          <t xml:space="preserve">426991</t>
        </is>
      </c>
      <c r="M374" t="inlineStr">
        <is>
          <t xml:space="preserve">2026-08-03</t>
        </is>
      </c>
      <c r="N374" t="inlineStr">
        <is>
          <t xml:space="preserve">2028-08-02</t>
        </is>
      </c>
      <c r="O374" t="inlineStr">
        <is>
          <t xml:space="preserve">Antibody</t>
        </is>
      </c>
      <c r="P374" s="3" t="str">
        <f>HYPERLINK("https://reporter.nih.gov/project-details/11374645","https://reporter.nih.gov/project-details/11374645")</f>
        <v>https://reporter.nih.gov/project-details/11374645</v>
      </c>
    </row>
    <row r="375">
      <c r="A375" t="inlineStr">
        <is>
          <t xml:space="preserve">2026-08-05</t>
        </is>
      </c>
      <c r="B375" t="inlineStr">
        <is>
          <t xml:space="preserve">3R16NS134542-04S1</t>
        </is>
      </c>
      <c r="C375" t="inlineStr">
        <is>
          <t xml:space="preserve">Evaluating dendritic DJ-1 targets as a framework for identifying pharmacotherapies for TSC-related neurological disorders</t>
        </is>
      </c>
      <c r="D375" t="inlineStr">
        <is>
          <t xml:space="preserve">Farr Niere</t>
        </is>
      </c>
      <c r="E375" t="inlineStr">
        <is>
          <t xml:space="preserve">Farr Niere</t>
        </is>
      </c>
      <c r="F375" t="inlineStr">
        <is>
          <t xml:space="preserve">NORTH CAROLINA AGRI &amp; TECH ST UNIV</t>
        </is>
      </c>
      <c r="G375" t="inlineStr">
        <is>
          <t xml:space="preserve">GREENSBORO</t>
        </is>
      </c>
      <c r="H375" t="inlineStr">
        <is>
          <t xml:space="preserve">NC</t>
        </is>
      </c>
      <c r="I375" t="inlineStr">
        <is>
          <t xml:space="preserve">NINDS</t>
        </is>
      </c>
      <c r="J375" t="inlineStr">
        <is>
          <t xml:space="preserve">National Institute of Neurological Disorders and Stroke</t>
        </is>
      </c>
      <c r="K375" t="inlineStr">
        <is>
          <t xml:space="preserve">2026</t>
        </is>
      </c>
      <c r="L375" t="inlineStr">
        <is>
          <t xml:space="preserve">42103</t>
        </is>
      </c>
      <c r="M375" t="inlineStr">
        <is>
          <t xml:space="preserve">2023-05-20</t>
        </is>
      </c>
      <c r="N375" t="inlineStr">
        <is>
          <t xml:space="preserve">2027-04-30</t>
        </is>
      </c>
      <c r="O375" t="inlineStr">
        <is>
          <t xml:space="preserve">Peptide, Small molecule</t>
        </is>
      </c>
      <c r="P375" s="3" t="str">
        <f>HYPERLINK("https://reporter.nih.gov/project-details/11369377","https://reporter.nih.gov/project-details/11369377")</f>
        <v>https://reporter.nih.gov/project-details/11369377</v>
      </c>
    </row>
    <row r="376">
      <c r="A376" t="inlineStr">
        <is>
          <t xml:space="preserve">2026-08-05</t>
        </is>
      </c>
      <c r="B376" t="inlineStr">
        <is>
          <t xml:space="preserve">5R01MH128366-05</t>
        </is>
      </c>
      <c r="C376" t="inlineStr">
        <is>
          <t xml:space="preserve">Unraveling the Genetic Programs Engaged in ASD Neurons Through Coupled Transcriptomic and Phenotypic Readouts</t>
        </is>
      </c>
      <c r="D376" t="inlineStr">
        <is>
          <t xml:space="preserve">Samouil Farhi</t>
        </is>
      </c>
      <c r="E376" t="inlineStr">
        <is>
          <t xml:space="preserve">Samouil Farhi; Ralda Nehme</t>
        </is>
      </c>
      <c r="F376" t="inlineStr">
        <is>
          <t xml:space="preserve">BROAD INSTITUTE, INC.</t>
        </is>
      </c>
      <c r="G376" t="inlineStr">
        <is>
          <t xml:space="preserve">CAMBRIDGE</t>
        </is>
      </c>
      <c r="H376" t="inlineStr">
        <is>
          <t xml:space="preserve">MA</t>
        </is>
      </c>
      <c r="I376" t="inlineStr">
        <is>
          <t xml:space="preserve">NIMH</t>
        </is>
      </c>
      <c r="J376" t="inlineStr">
        <is>
          <t xml:space="preserve">National Institute of Mental Health</t>
        </is>
      </c>
      <c r="K376" t="inlineStr">
        <is>
          <t xml:space="preserve">2026</t>
        </is>
      </c>
      <c r="L376" t="inlineStr">
        <is>
          <t xml:space="preserve">717922</t>
        </is>
      </c>
      <c r="M376" t="inlineStr">
        <is>
          <t xml:space="preserve">2022-08-10</t>
        </is>
      </c>
      <c r="N376" t="inlineStr">
        <is>
          <t xml:space="preserve">2027-06-30</t>
        </is>
      </c>
      <c r="O376" t="inlineStr">
        <is>
          <t xml:space="preserve">Gene therapy</t>
        </is>
      </c>
      <c r="P376" s="3" t="str">
        <f>HYPERLINK("https://reporter.nih.gov/project-details/11369142","https://reporter.nih.gov/project-details/11369142")</f>
        <v>https://reporter.nih.gov/project-details/11369142</v>
      </c>
    </row>
    <row r="377">
      <c r="A377" t="inlineStr">
        <is>
          <t xml:space="preserve">2026-08-05</t>
        </is>
      </c>
      <c r="B377" t="inlineStr">
        <is>
          <t xml:space="preserve">1U01DP006934-01</t>
        </is>
      </c>
      <c r="C377" t="inlineStr">
        <is>
          <t xml:space="preserve">Incidence and Risk Factors of Childhood Epilepsy in the United States</t>
        </is>
      </c>
      <c r="D377" t="inlineStr">
        <is>
          <t xml:space="preserve">SIRAN M. KOROUKIAN</t>
        </is>
      </c>
      <c r="E377" t="inlineStr">
        <is>
          <t xml:space="preserve">SIRAN M. KOROUKIAN; Nicholas Kenneth Schiltz</t>
        </is>
      </c>
      <c r="F377" t="inlineStr">
        <is>
          <t xml:space="preserve">CASE WESTERN RESERVE UNIVERSITY</t>
        </is>
      </c>
      <c r="G377" t="inlineStr">
        <is>
          <t xml:space="preserve">CLEVELAND</t>
        </is>
      </c>
      <c r="H377" t="inlineStr">
        <is>
          <t xml:space="preserve">OH</t>
        </is>
      </c>
      <c r="I377" t="inlineStr">
        <is>
          <t xml:space="preserve">NCCDPHP</t>
        </is>
      </c>
      <c r="J377" t="inlineStr">
        <is>
          <t xml:space="preserve">National Center for Chronic Disease Prev and Health Promo</t>
        </is>
      </c>
      <c r="K377" t="inlineStr">
        <is>
          <t xml:space="preserve">2025</t>
        </is>
      </c>
      <c r="L377" t="inlineStr">
        <is>
          <t xml:space="preserve">499995</t>
        </is>
      </c>
      <c r="M377" t="inlineStr">
        <is>
          <t xml:space="preserve">2026-09-30</t>
        </is>
      </c>
      <c r="N377" t="inlineStr">
        <is>
          <t xml:space="preserve">2030-09-29</t>
        </is>
      </c>
      <c r="O377" t="inlineStr">
        <is>
          <t xml:space="preserve"/>
        </is>
      </c>
      <c r="P377" s="3" t="str">
        <f>HYPERLINK("https://reporter.nih.gov/project-details/11263109","https://reporter.nih.gov/project-details/11263109")</f>
        <v>https://reporter.nih.gov/project-details/11263109</v>
      </c>
    </row>
    <row r="378">
      <c r="A378" t="inlineStr">
        <is>
          <t xml:space="preserve">2026-08-04</t>
        </is>
      </c>
      <c r="B378" t="inlineStr">
        <is>
          <t xml:space="preserve">3U01HD116463-02S1</t>
        </is>
      </c>
      <c r="C378" t="inlineStr">
        <is>
          <t xml:space="preserve">The Infant Down Syndrome Brain and Behavior Study</t>
        </is>
      </c>
      <c r="D378" t="inlineStr">
        <is>
          <t xml:space="preserve">Natasha Marrus</t>
        </is>
      </c>
      <c r="E378" t="inlineStr">
        <is>
          <t xml:space="preserve">Heather Cody Hazlett; Natasha Marrus</t>
        </is>
      </c>
      <c r="F378" t="inlineStr">
        <is>
          <t xml:space="preserve">WASHINGTON UNIVERSITY</t>
        </is>
      </c>
      <c r="G378" t="inlineStr">
        <is>
          <t xml:space="preserve">SAINT LOUIS</t>
        </is>
      </c>
      <c r="H378" t="inlineStr">
        <is>
          <t xml:space="preserve">MO</t>
        </is>
      </c>
      <c r="I378" t="inlineStr">
        <is>
          <t xml:space="preserve">NICHD</t>
        </is>
      </c>
      <c r="J378" t="inlineStr">
        <is>
          <t xml:space="preserve">Eunice Kennedy Shriver National Institute of Child Health and Human Development</t>
        </is>
      </c>
      <c r="K378" t="inlineStr">
        <is>
          <t xml:space="preserve">2026</t>
        </is>
      </c>
      <c r="L378" t="inlineStr">
        <is>
          <t xml:space="preserve">21600</t>
        </is>
      </c>
      <c r="M378" t="inlineStr">
        <is>
          <t xml:space="preserve">2026-06-01</t>
        </is>
      </c>
      <c r="N378" t="inlineStr">
        <is>
          <t xml:space="preserve">2029-05-31</t>
        </is>
      </c>
      <c r="O378" t="inlineStr">
        <is>
          <t xml:space="preserve"/>
        </is>
      </c>
      <c r="P378" s="3" t="str">
        <f>HYPERLINK("https://reporter.nih.gov/project-details/11595423","https://reporter.nih.gov/project-details/11595423")</f>
        <v>https://reporter.nih.gov/project-details/11595423</v>
      </c>
    </row>
    <row r="379">
      <c r="A379" t="inlineStr">
        <is>
          <t xml:space="preserve">2026-08-04</t>
        </is>
      </c>
      <c r="B379" t="inlineStr">
        <is>
          <t xml:space="preserve">3U01HD116469-02S1</t>
        </is>
      </c>
      <c r="C379" t="inlineStr">
        <is>
          <t xml:space="preserve">Human Trisome Project - Latin America Network</t>
        </is>
      </c>
      <c r="D379" t="inlineStr">
        <is>
          <t xml:space="preserve">Joaquin M. Espinosa</t>
        </is>
      </c>
      <c r="E379" t="inlineStr">
        <is>
          <t xml:space="preserve">Joaquin M. Espinosa; Angela Lynn Rachubinski</t>
        </is>
      </c>
      <c r="F379" t="inlineStr">
        <is>
          <t xml:space="preserve">UNIVERSITY OF COLORADO DENVER</t>
        </is>
      </c>
      <c r="G379" t="inlineStr">
        <is>
          <t xml:space="preserve">Aurora</t>
        </is>
      </c>
      <c r="H379" t="inlineStr">
        <is>
          <t xml:space="preserve">CO</t>
        </is>
      </c>
      <c r="I379" t="inlineStr">
        <is>
          <t xml:space="preserve">NICHD</t>
        </is>
      </c>
      <c r="J379" t="inlineStr">
        <is>
          <t xml:space="preserve">Eunice Kennedy Shriver National Institute of Child Health and Human Development</t>
        </is>
      </c>
      <c r="K379" t="inlineStr">
        <is>
          <t xml:space="preserve">2026</t>
        </is>
      </c>
      <c r="L379" t="inlineStr">
        <is>
          <t xml:space="preserve">269244</t>
        </is>
      </c>
      <c r="M379" t="inlineStr">
        <is>
          <t xml:space="preserve">2024-09-20</t>
        </is>
      </c>
      <c r="N379" t="inlineStr">
        <is>
          <t xml:space="preserve">2029-05-31</t>
        </is>
      </c>
      <c r="O379" t="inlineStr">
        <is>
          <t xml:space="preserve">Small molecule, Behavioral</t>
        </is>
      </c>
      <c r="P379" s="3" t="str">
        <f>HYPERLINK("https://reporter.nih.gov/project-details/11594203","https://reporter.nih.gov/project-details/11594203")</f>
        <v>https://reporter.nih.gov/project-details/11594203</v>
      </c>
    </row>
    <row r="380">
      <c r="A380" t="inlineStr">
        <is>
          <t xml:space="preserve">2026-08-04</t>
        </is>
      </c>
      <c r="B380" t="inlineStr">
        <is>
          <t xml:space="preserve">4R44MH138162-02</t>
        </is>
      </c>
      <c r="C380" t="inlineStr">
        <is>
          <t xml:space="preserve">Modifying and validating the K-CAT mental health scales for children and adolescents on the autism spectrum</t>
        </is>
      </c>
      <c r="D380" t="inlineStr">
        <is>
          <t xml:space="preserve">Yehuda Cohen</t>
        </is>
      </c>
      <c r="E380" t="inlineStr">
        <is>
          <t xml:space="preserve">Paige Elizabeth Cervantes; Yehuda Cohen</t>
        </is>
      </c>
      <c r="F380" t="inlineStr">
        <is>
          <t xml:space="preserve">ADAPTIVE TESTING TECHNOLOGIES</t>
        </is>
      </c>
      <c r="G380" t="inlineStr">
        <is>
          <t xml:space="preserve">CHICAGO</t>
        </is>
      </c>
      <c r="H380" t="inlineStr">
        <is>
          <t xml:space="preserve">IL</t>
        </is>
      </c>
      <c r="I380" t="inlineStr">
        <is>
          <t xml:space="preserve">NIMH</t>
        </is>
      </c>
      <c r="J380" t="inlineStr">
        <is>
          <t xml:space="preserve">National Institute of Mental Health</t>
        </is>
      </c>
      <c r="K380" t="inlineStr">
        <is>
          <t xml:space="preserve">2026</t>
        </is>
      </c>
      <c r="L380" t="inlineStr">
        <is>
          <t xml:space="preserve">1018713</t>
        </is>
      </c>
      <c r="M380" t="inlineStr">
        <is>
          <t xml:space="preserve">2024-09-11</t>
        </is>
      </c>
      <c r="N380" t="inlineStr">
        <is>
          <t xml:space="preserve">2029-07-31</t>
        </is>
      </c>
      <c r="O380" t="inlineStr">
        <is>
          <t xml:space="preserve">Device / stimulation</t>
        </is>
      </c>
      <c r="P380" s="3" t="str">
        <f>HYPERLINK("https://reporter.nih.gov/project-details/11194639","https://reporter.nih.gov/project-details/11194639")</f>
        <v>https://reporter.nih.gov/project-details/11194639</v>
      </c>
    </row>
    <row r="381">
      <c r="A381" t="inlineStr">
        <is>
          <t xml:space="preserve">2026-08-04</t>
        </is>
      </c>
      <c r="B381" t="inlineStr">
        <is>
          <t xml:space="preserve">5P20GM121310-10</t>
        </is>
      </c>
      <c r="C381" t="inlineStr">
        <is>
          <t xml:space="preserve">Wyoming Sensory Biology COBRE</t>
        </is>
      </c>
      <c r="D381" t="inlineStr">
        <is>
          <t xml:space="preserve">Qian-Quan Sun</t>
        </is>
      </c>
      <c r="E381" t="inlineStr">
        <is>
          <t xml:space="preserve">Qian-Quan Sun</t>
        </is>
      </c>
      <c r="F381" t="inlineStr">
        <is>
          <t xml:space="preserve">UNIVERSITY OF WYOMING</t>
        </is>
      </c>
      <c r="G381" t="inlineStr">
        <is>
          <t xml:space="preserve">LARAMIE</t>
        </is>
      </c>
      <c r="H381" t="inlineStr">
        <is>
          <t xml:space="preserve">WY</t>
        </is>
      </c>
      <c r="I381" t="inlineStr">
        <is>
          <t xml:space="preserve">NIGMS</t>
        </is>
      </c>
      <c r="J381" t="inlineStr">
        <is>
          <t xml:space="preserve">National Institute of General Medical Sciences</t>
        </is>
      </c>
      <c r="K381" t="inlineStr">
        <is>
          <t xml:space="preserve">2026</t>
        </is>
      </c>
      <c r="L381" t="inlineStr">
        <is>
          <t xml:space="preserve">2124041</t>
        </is>
      </c>
      <c r="M381" t="inlineStr">
        <is>
          <t xml:space="preserve">2017-09-01</t>
        </is>
      </c>
      <c r="N381" t="inlineStr">
        <is>
          <t xml:space="preserve">2027-07-31</t>
        </is>
      </c>
      <c r="O381" t="inlineStr">
        <is>
          <t xml:space="preserve">Peptide, Behavioral</t>
        </is>
      </c>
      <c r="P381" s="3" t="str">
        <f>HYPERLINK("https://reporter.nih.gov/project-details/11388626","https://reporter.nih.gov/project-details/11388626")</f>
        <v>https://reporter.nih.gov/project-details/11388626</v>
      </c>
    </row>
    <row r="382">
      <c r="A382" t="inlineStr">
        <is>
          <t xml:space="preserve">2026-08-04</t>
        </is>
      </c>
      <c r="B382" t="inlineStr">
        <is>
          <t xml:space="preserve">5R01MH135867-02</t>
        </is>
      </c>
      <c r="C382" t="inlineStr">
        <is>
          <t xml:space="preserve">Machine Learning Prediction of Persistent Adverse Mental Health Outcomes for Autistic Children: Leveraging Social Determinants of Health from Clinical Data</t>
        </is>
      </c>
      <c r="D382" t="inlineStr">
        <is>
          <t xml:space="preserve">Amber M. Angell</t>
        </is>
      </c>
      <c r="E382" t="inlineStr">
        <is>
          <t xml:space="preserve">Amber M. Angell</t>
        </is>
      </c>
      <c r="F382" t="inlineStr">
        <is>
          <t xml:space="preserve">UNIVERSITY OF SOUTHERN CALIFORNIA</t>
        </is>
      </c>
      <c r="G382" t="inlineStr">
        <is>
          <t xml:space="preserve">Los Angeles</t>
        </is>
      </c>
      <c r="H382" t="inlineStr">
        <is>
          <t xml:space="preserve">CA</t>
        </is>
      </c>
      <c r="I382" t="inlineStr">
        <is>
          <t xml:space="preserve">NIMH</t>
        </is>
      </c>
      <c r="J382" t="inlineStr">
        <is>
          <t xml:space="preserve">National Institute of Mental Health</t>
        </is>
      </c>
      <c r="K382" t="inlineStr">
        <is>
          <t xml:space="preserve">2026</t>
        </is>
      </c>
      <c r="L382" t="inlineStr">
        <is>
          <t xml:space="preserve">691861</t>
        </is>
      </c>
      <c r="M382" t="inlineStr">
        <is>
          <t xml:space="preserve">2025-09-19</t>
        </is>
      </c>
      <c r="N382" t="inlineStr">
        <is>
          <t xml:space="preserve">2030-07-31</t>
        </is>
      </c>
      <c r="O382" t="inlineStr">
        <is>
          <t xml:space="preserve"/>
        </is>
      </c>
      <c r="P382" s="3" t="str">
        <f>HYPERLINK("https://reporter.nih.gov/project-details/11419897","https://reporter.nih.gov/project-details/11419897")</f>
        <v>https://reporter.nih.gov/project-details/11419897</v>
      </c>
    </row>
    <row r="383">
      <c r="A383" t="inlineStr">
        <is>
          <t xml:space="preserve">2026-08-04</t>
        </is>
      </c>
      <c r="B383" t="inlineStr">
        <is>
          <t xml:space="preserve">5U19NS107616-09</t>
        </is>
      </c>
      <c r="C383" t="inlineStr">
        <is>
          <t xml:space="preserve">Oxytocin Modulation of Neural Circuit Function and Behavior</t>
        </is>
      </c>
      <c r="D383" t="inlineStr">
        <is>
          <t xml:space="preserve">RICHARD W TSIEN</t>
        </is>
      </c>
      <c r="E383" t="inlineStr">
        <is>
          <t xml:space="preserve">RICHARD W TSIEN</t>
        </is>
      </c>
      <c r="F383" t="inlineStr">
        <is>
          <t xml:space="preserve">NEW YORK UNIVERSITY SCHOOL OF MEDICINE</t>
        </is>
      </c>
      <c r="G383" t="inlineStr">
        <is>
          <t xml:space="preserve">NEW YORK</t>
        </is>
      </c>
      <c r="H383" t="inlineStr">
        <is>
          <t xml:space="preserve">NY</t>
        </is>
      </c>
      <c r="I383" t="inlineStr">
        <is>
          <t xml:space="preserve">NINDS</t>
        </is>
      </c>
      <c r="J383" t="inlineStr">
        <is>
          <t xml:space="preserve">National Institute of Neurological Disorders and Stroke</t>
        </is>
      </c>
      <c r="K383" t="inlineStr">
        <is>
          <t xml:space="preserve">2026</t>
        </is>
      </c>
      <c r="L383" t="inlineStr">
        <is>
          <t xml:space="preserve">4168126</t>
        </is>
      </c>
      <c r="M383" t="inlineStr">
        <is>
          <t xml:space="preserve">2018-09-15</t>
        </is>
      </c>
      <c r="N383" t="inlineStr">
        <is>
          <t xml:space="preserve">2028-07-31</t>
        </is>
      </c>
      <c r="O383" t="inlineStr">
        <is>
          <t xml:space="preserve">Peptide, Device / stimulation</t>
        </is>
      </c>
      <c r="P383" s="3" t="str">
        <f>HYPERLINK("https://reporter.nih.gov/project-details/11416774","https://reporter.nih.gov/project-details/11416774")</f>
        <v>https://reporter.nih.gov/project-details/11416774</v>
      </c>
    </row>
    <row r="384">
      <c r="A384" t="inlineStr">
        <is>
          <t xml:space="preserve">2026-08-04</t>
        </is>
      </c>
      <c r="B384" t="inlineStr">
        <is>
          <t xml:space="preserve">5F32NS144013-02</t>
        </is>
      </c>
      <c r="C384" t="inlineStr">
        <is>
          <t xml:space="preserve">Suppression of Distributed Sensory Representations by Self-Motion Cues in Drosophila</t>
        </is>
      </c>
      <c r="D384" t="inlineStr">
        <is>
          <t xml:space="preserve">Sachira Denagamage</t>
        </is>
      </c>
      <c r="E384" t="inlineStr">
        <is>
          <t xml:space="preserve">Sachira Denagamage</t>
        </is>
      </c>
      <c r="F384" t="inlineStr">
        <is>
          <t xml:space="preserve">COLUMBIA UNIVERSITY HEALTH SCIENCES</t>
        </is>
      </c>
      <c r="G384" t="inlineStr">
        <is>
          <t xml:space="preserve">NEW YORK</t>
        </is>
      </c>
      <c r="H384" t="inlineStr">
        <is>
          <t xml:space="preserve">NY</t>
        </is>
      </c>
      <c r="I384" t="inlineStr">
        <is>
          <t xml:space="preserve">NINDS</t>
        </is>
      </c>
      <c r="J384" t="inlineStr">
        <is>
          <t xml:space="preserve">National Institute of Neurological Disorders and Stroke</t>
        </is>
      </c>
      <c r="K384" t="inlineStr">
        <is>
          <t xml:space="preserve">2026</t>
        </is>
      </c>
      <c r="L384" t="inlineStr">
        <is>
          <t xml:space="preserve">79348</t>
        </is>
      </c>
      <c r="M384" t="inlineStr">
        <is>
          <t xml:space="preserve">2025-09-01</t>
        </is>
      </c>
      <c r="N384" t="inlineStr">
        <is>
          <t xml:space="preserve">2028-03-31</t>
        </is>
      </c>
      <c r="O384" t="inlineStr">
        <is>
          <t xml:space="preserve"/>
        </is>
      </c>
      <c r="P384" s="3" t="str">
        <f>HYPERLINK("https://reporter.nih.gov/project-details/11392871","https://reporter.nih.gov/project-details/11392871")</f>
        <v>https://reporter.nih.gov/project-details/11392871</v>
      </c>
    </row>
    <row r="385">
      <c r="A385" t="inlineStr">
        <is>
          <t xml:space="preserve">2026-08-04</t>
        </is>
      </c>
      <c r="B385" t="inlineStr">
        <is>
          <t xml:space="preserve">1R21MH144157-01</t>
        </is>
      </c>
      <c r="C385" t="inlineStr">
        <is>
          <t xml:space="preserve">A role for neurexins in serotonin-IPN circuitry and social behavior</t>
        </is>
      </c>
      <c r="D385" t="inlineStr">
        <is>
          <t xml:space="preserve">KENSUKE FUTAI</t>
        </is>
      </c>
      <c r="E385" t="inlineStr">
        <is>
          <t xml:space="preserve">KENSUKE FUTAI; ANDREW R TAPPER</t>
        </is>
      </c>
      <c r="F385" t="inlineStr">
        <is>
          <t xml:space="preserve">UNIV OF MASSACHUSETTS MED SCH WORCESTER</t>
        </is>
      </c>
      <c r="G385" t="inlineStr">
        <is>
          <t xml:space="preserve">WORCESTER</t>
        </is>
      </c>
      <c r="H385" t="inlineStr">
        <is>
          <t xml:space="preserve">MA</t>
        </is>
      </c>
      <c r="I385" t="inlineStr">
        <is>
          <t xml:space="preserve">NIMH</t>
        </is>
      </c>
      <c r="J385" t="inlineStr">
        <is>
          <t xml:space="preserve">National Institute of Mental Health</t>
        </is>
      </c>
      <c r="K385" t="inlineStr">
        <is>
          <t xml:space="preserve">2026</t>
        </is>
      </c>
      <c r="L385" t="inlineStr">
        <is>
          <t xml:space="preserve">460625</t>
        </is>
      </c>
      <c r="M385" t="inlineStr">
        <is>
          <t xml:space="preserve">2026-08-01</t>
        </is>
      </c>
      <c r="N385" t="inlineStr">
        <is>
          <t xml:space="preserve">2028-07-31</t>
        </is>
      </c>
      <c r="O385" t="inlineStr">
        <is>
          <t xml:space="preserve">Small molecule, Behavioral</t>
        </is>
      </c>
      <c r="P385" s="3" t="str">
        <f>HYPERLINK("https://reporter.nih.gov/project-details/11356020","https://reporter.nih.gov/project-details/11356020")</f>
        <v>https://reporter.nih.gov/project-details/11356020</v>
      </c>
    </row>
    <row r="386">
      <c r="A386" t="inlineStr">
        <is>
          <t xml:space="preserve">2026-08-04</t>
        </is>
      </c>
      <c r="B386" t="inlineStr">
        <is>
          <t xml:space="preserve">5F32NS143951-02</t>
        </is>
      </c>
      <c r="C386" t="inlineStr">
        <is>
          <t xml:space="preserve">Exploring Role of Astrocytic adhesion GPCR Remoulade in Neuronal Remodeling</t>
        </is>
      </c>
      <c r="D386" t="inlineStr">
        <is>
          <t xml:space="preserve">Nathaniel Ghena</t>
        </is>
      </c>
      <c r="E386" t="inlineStr">
        <is>
          <t xml:space="preserve">Nathaniel Ghena</t>
        </is>
      </c>
      <c r="F386" t="inlineStr">
        <is>
          <t xml:space="preserve">OREGON HEALTH &amp; SCIENCE UNIVERSITY</t>
        </is>
      </c>
      <c r="G386" t="inlineStr">
        <is>
          <t xml:space="preserve">PORTLAND</t>
        </is>
      </c>
      <c r="H386" t="inlineStr">
        <is>
          <t xml:space="preserve">OR</t>
        </is>
      </c>
      <c r="I386" t="inlineStr">
        <is>
          <t xml:space="preserve">NINDS</t>
        </is>
      </c>
      <c r="J386" t="inlineStr">
        <is>
          <t xml:space="preserve">National Institute of Neurological Disorders and Stroke</t>
        </is>
      </c>
      <c r="K386" t="inlineStr">
        <is>
          <t xml:space="preserve">2026</t>
        </is>
      </c>
      <c r="L386" t="inlineStr">
        <is>
          <t xml:space="preserve">79300</t>
        </is>
      </c>
      <c r="M386" t="inlineStr">
        <is>
          <t xml:space="preserve">2025-08-01</t>
        </is>
      </c>
      <c r="N386" t="inlineStr">
        <is>
          <t xml:space="preserve">2028-07-31</t>
        </is>
      </c>
      <c r="O386" t="inlineStr">
        <is>
          <t xml:space="preserve">Gene therapy</t>
        </is>
      </c>
      <c r="P386" s="3" t="str">
        <f>HYPERLINK("https://reporter.nih.gov/project-details/11395159","https://reporter.nih.gov/project-details/11395159")</f>
        <v>https://reporter.nih.gov/project-details/11395159</v>
      </c>
    </row>
    <row r="387">
      <c r="A387" t="inlineStr">
        <is>
          <t xml:space="preserve">2026-08-04</t>
        </is>
      </c>
      <c r="B387" t="inlineStr">
        <is>
          <t xml:space="preserve">5R01NS127913-05</t>
        </is>
      </c>
      <c r="C387" t="inlineStr">
        <is>
          <t xml:space="preserve">Identification and characterization of mCpH binding proteins in neurons</t>
        </is>
      </c>
      <c r="D387" t="inlineStr">
        <is>
          <t xml:space="preserve">Heng Zhu</t>
        </is>
      </c>
      <c r="E387" t="inlineStr">
        <is>
          <t xml:space="preserve">Yijing Su; Heng Zhu</t>
        </is>
      </c>
      <c r="F387" t="inlineStr">
        <is>
          <t xml:space="preserve">JOHNS HOPKINS UNIVERSITY</t>
        </is>
      </c>
      <c r="G387" t="inlineStr">
        <is>
          <t xml:space="preserve">BALTIMORE</t>
        </is>
      </c>
      <c r="H387" t="inlineStr">
        <is>
          <t xml:space="preserve">MD</t>
        </is>
      </c>
      <c r="I387" t="inlineStr">
        <is>
          <t xml:space="preserve">NINDS</t>
        </is>
      </c>
      <c r="J387" t="inlineStr">
        <is>
          <t xml:space="preserve">National Institute of Neurological Disorders and Stroke</t>
        </is>
      </c>
      <c r="K387" t="inlineStr">
        <is>
          <t xml:space="preserve">2026</t>
        </is>
      </c>
      <c r="L387" t="inlineStr">
        <is>
          <t xml:space="preserve">640626</t>
        </is>
      </c>
      <c r="M387" t="inlineStr">
        <is>
          <t xml:space="preserve">2022-08-05</t>
        </is>
      </c>
      <c r="N387" t="inlineStr">
        <is>
          <t xml:space="preserve">2027-07-31</t>
        </is>
      </c>
      <c r="O387" t="inlineStr">
        <is>
          <t xml:space="preserve">Small molecule</t>
        </is>
      </c>
      <c r="P387" s="3" t="str">
        <f>HYPERLINK("https://reporter.nih.gov/project-details/11385486","https://reporter.nih.gov/project-details/11385486")</f>
        <v>https://reporter.nih.gov/project-details/11385486</v>
      </c>
    </row>
    <row r="388">
      <c r="A388" t="inlineStr">
        <is>
          <t xml:space="preserve">2026-08-04</t>
        </is>
      </c>
      <c r="B388" t="inlineStr">
        <is>
          <t xml:space="preserve">1R56NS144233-01A1</t>
        </is>
      </c>
      <c r="C388" t="inlineStr">
        <is>
          <t xml:space="preserve">Dual-AAV gene replacement for SCN2A disorders</t>
        </is>
      </c>
      <c r="D388" t="inlineStr">
        <is>
          <t xml:space="preserve">Yang Yang</t>
        </is>
      </c>
      <c r="E388" t="inlineStr">
        <is>
          <t xml:space="preserve">Yang Yang</t>
        </is>
      </c>
      <c r="F388" t="inlineStr">
        <is>
          <t xml:space="preserve">PURDUE UNIVERSITY</t>
        </is>
      </c>
      <c r="G388" t="inlineStr">
        <is>
          <t xml:space="preserve">WEST LAFAYETTE</t>
        </is>
      </c>
      <c r="H388" t="inlineStr">
        <is>
          <t xml:space="preserve">IN</t>
        </is>
      </c>
      <c r="I388" t="inlineStr">
        <is>
          <t xml:space="preserve">NINDS</t>
        </is>
      </c>
      <c r="J388" t="inlineStr">
        <is>
          <t xml:space="preserve">National Institute of Neurological Disorders and Stroke</t>
        </is>
      </c>
      <c r="K388" t="inlineStr">
        <is>
          <t xml:space="preserve">2026</t>
        </is>
      </c>
      <c r="L388" t="inlineStr">
        <is>
          <t xml:space="preserve">545644</t>
        </is>
      </c>
      <c r="M388" t="inlineStr">
        <is>
          <t xml:space="preserve">2026-08-04</t>
        </is>
      </c>
      <c r="N388" t="inlineStr">
        <is>
          <t xml:space="preserve">2027-07-31</t>
        </is>
      </c>
      <c r="O388" t="inlineStr">
        <is>
          <t xml:space="preserve">Gene therapy, Viral vector</t>
        </is>
      </c>
      <c r="P388" s="3" t="str">
        <f>HYPERLINK("https://reporter.nih.gov/project-details/11594149","https://reporter.nih.gov/project-details/11594149")</f>
        <v>https://reporter.nih.gov/project-details/11594149</v>
      </c>
    </row>
    <row r="389">
      <c r="A389" t="inlineStr">
        <is>
          <t xml:space="preserve">2026-08-04</t>
        </is>
      </c>
      <c r="B389" t="inlineStr">
        <is>
          <t xml:space="preserve">5U24NS126938-05</t>
        </is>
      </c>
      <c r="C389" t="inlineStr">
        <is>
          <t xml:space="preserve">Dissemination of MAPseq and BARseq for High-Throughput Brain Mapping</t>
        </is>
      </c>
      <c r="D389" t="inlineStr">
        <is>
          <t xml:space="preserve">ANTHONY M ZADOR</t>
        </is>
      </c>
      <c r="E389" t="inlineStr">
        <is>
          <t xml:space="preserve">ANTHONY M ZADOR</t>
        </is>
      </c>
      <c r="F389" t="inlineStr">
        <is>
          <t xml:space="preserve">COLD SPRING HARBOR LABORATORY</t>
        </is>
      </c>
      <c r="G389" t="inlineStr">
        <is>
          <t xml:space="preserve">COLD SPRING HARBOR</t>
        </is>
      </c>
      <c r="H389" t="inlineStr">
        <is>
          <t xml:space="preserve">NY</t>
        </is>
      </c>
      <c r="I389" t="inlineStr">
        <is>
          <t xml:space="preserve">NINDS</t>
        </is>
      </c>
      <c r="J389" t="inlineStr">
        <is>
          <t xml:space="preserve">National Institute of Neurological Disorders and Stroke</t>
        </is>
      </c>
      <c r="K389" t="inlineStr">
        <is>
          <t xml:space="preserve">2026</t>
        </is>
      </c>
      <c r="L389" t="inlineStr">
        <is>
          <t xml:space="preserve">929890</t>
        </is>
      </c>
      <c r="M389" t="inlineStr">
        <is>
          <t xml:space="preserve">2022-08-01</t>
        </is>
      </c>
      <c r="N389" t="inlineStr">
        <is>
          <t xml:space="preserve">2027-07-31</t>
        </is>
      </c>
      <c r="O389" t="inlineStr">
        <is>
          <t xml:space="preserve"/>
        </is>
      </c>
      <c r="P389" s="3" t="str">
        <f>HYPERLINK("https://reporter.nih.gov/project-details/11393319","https://reporter.nih.gov/project-details/11393319")</f>
        <v>https://reporter.nih.gov/project-details/11393319</v>
      </c>
    </row>
    <row r="390">
      <c r="A390" t="inlineStr">
        <is>
          <t xml:space="preserve">2026-08-04</t>
        </is>
      </c>
      <c r="B390" t="inlineStr">
        <is>
          <t xml:space="preserve">5R01HD106353-05</t>
        </is>
      </c>
      <c r="C390" t="inlineStr">
        <is>
          <t xml:space="preserve">Evaluating additive effects of including canines in Regulating Together: A Group Treatment to Address Emotion Dysregulation in youth with autism spectrum disorder</t>
        </is>
      </c>
      <c r="D390" t="inlineStr">
        <is>
          <t xml:space="preserve">Rebecca Shaffer</t>
        </is>
      </c>
      <c r="E390" t="inlineStr">
        <is>
          <t xml:space="preserve">Rebecca Shaffer</t>
        </is>
      </c>
      <c r="F390" t="inlineStr">
        <is>
          <t xml:space="preserve">CINCINNATI CHILDRENS HOSP MED CTR</t>
        </is>
      </c>
      <c r="G390" t="inlineStr">
        <is>
          <t xml:space="preserve">CINCINNATI</t>
        </is>
      </c>
      <c r="H390" t="inlineStr">
        <is>
          <t xml:space="preserve">OH</t>
        </is>
      </c>
      <c r="I390" t="inlineStr">
        <is>
          <t xml:space="preserve">NICHD</t>
        </is>
      </c>
      <c r="J390" t="inlineStr">
        <is>
          <t xml:space="preserve">Eunice Kennedy Shriver National Institute of Child Health and Human Development</t>
        </is>
      </c>
      <c r="K390" t="inlineStr">
        <is>
          <t xml:space="preserve">2026</t>
        </is>
      </c>
      <c r="L390" t="inlineStr">
        <is>
          <t xml:space="preserve">638363</t>
        </is>
      </c>
      <c r="M390" t="inlineStr">
        <is>
          <t xml:space="preserve">2022-09-01</t>
        </is>
      </c>
      <c r="N390" t="inlineStr">
        <is>
          <t xml:space="preserve">2027-08-31</t>
        </is>
      </c>
      <c r="O390" t="inlineStr">
        <is>
          <t xml:space="preserve">Small molecule, Behavioral</t>
        </is>
      </c>
      <c r="P390" s="3" t="str">
        <f>HYPERLINK("https://reporter.nih.gov/project-details/11402213","https://reporter.nih.gov/project-details/11402213")</f>
        <v>https://reporter.nih.gov/project-details/11402213</v>
      </c>
    </row>
    <row r="391">
      <c r="A391" t="inlineStr">
        <is>
          <t xml:space="preserve">2026-08-04</t>
        </is>
      </c>
      <c r="B391" t="inlineStr">
        <is>
          <t xml:space="preserve">1R01EY038015-01A1</t>
        </is>
      </c>
      <c r="C391" t="inlineStr">
        <is>
          <t xml:space="preserve">Prior Experience Shapes Selectivity within Human Ventral Temporal Cortex</t>
        </is>
      </c>
      <c r="D391" t="inlineStr">
        <is>
          <t xml:space="preserve">Hernan Gonzalo Rey</t>
        </is>
      </c>
      <c r="E391" t="inlineStr">
        <is>
          <t xml:space="preserve">Brett Foster; Hernan Gonzalo Rey</t>
        </is>
      </c>
      <c r="F391" t="inlineStr">
        <is>
          <t xml:space="preserve">MEDICAL COLLEGE OF WISCONSIN</t>
        </is>
      </c>
      <c r="G391" t="inlineStr">
        <is>
          <t xml:space="preserve">MILWAUKEE</t>
        </is>
      </c>
      <c r="H391" t="inlineStr">
        <is>
          <t xml:space="preserve">WI</t>
        </is>
      </c>
      <c r="I391" t="inlineStr">
        <is>
          <t xml:space="preserve">NEI</t>
        </is>
      </c>
      <c r="J391" t="inlineStr">
        <is>
          <t xml:space="preserve">National Eye Institute</t>
        </is>
      </c>
      <c r="K391" t="inlineStr">
        <is>
          <t xml:space="preserve">2026</t>
        </is>
      </c>
      <c r="L391" t="inlineStr">
        <is>
          <t xml:space="preserve">564849</t>
        </is>
      </c>
      <c r="M391" t="inlineStr">
        <is>
          <t xml:space="preserve">2026-08-01</t>
        </is>
      </c>
      <c r="N391" t="inlineStr">
        <is>
          <t xml:space="preserve">2030-05-31</t>
        </is>
      </c>
      <c r="O391" t="inlineStr">
        <is>
          <t xml:space="preserve"/>
        </is>
      </c>
      <c r="P391" s="3" t="str">
        <f>HYPERLINK("https://reporter.nih.gov/project-details/11376073","https://reporter.nih.gov/project-details/11376073")</f>
        <v>https://reporter.nih.gov/project-details/11376073</v>
      </c>
    </row>
    <row r="392">
      <c r="A392" t="inlineStr">
        <is>
          <t xml:space="preserve">2026-08-04</t>
        </is>
      </c>
      <c r="B392" t="inlineStr">
        <is>
          <t xml:space="preserve">3R37NS125632-05S1</t>
        </is>
      </c>
      <c r="C392" t="inlineStr">
        <is>
          <t xml:space="preserve">KPTN Loss and Megalencephaly: mTOR Activation as Therapeutic Target</t>
        </is>
      </c>
      <c r="D392" t="inlineStr">
        <is>
          <t xml:space="preserve">Peter B Crino</t>
        </is>
      </c>
      <c r="E392" t="inlineStr">
        <is>
          <t xml:space="preserve">Peter B Crino</t>
        </is>
      </c>
      <c r="F392" t="inlineStr">
        <is>
          <t xml:space="preserve">UNIVERSITY OF MARYLAND BALTIMORE</t>
        </is>
      </c>
      <c r="G392" t="inlineStr">
        <is>
          <t xml:space="preserve">BALTIMORE</t>
        </is>
      </c>
      <c r="H392" t="inlineStr">
        <is>
          <t xml:space="preserve">MD</t>
        </is>
      </c>
      <c r="I392" t="inlineStr">
        <is>
          <t xml:space="preserve">NINDS</t>
        </is>
      </c>
      <c r="J392" t="inlineStr">
        <is>
          <t xml:space="preserve">National Institute of Neurological Disorders and Stroke</t>
        </is>
      </c>
      <c r="K392" t="inlineStr">
        <is>
          <t xml:space="preserve">2026</t>
        </is>
      </c>
      <c r="L392" t="inlineStr">
        <is>
          <t xml:space="preserve">51018</t>
        </is>
      </c>
      <c r="M392" t="inlineStr">
        <is>
          <t xml:space="preserve">2022-01-01</t>
        </is>
      </c>
      <c r="N392" t="inlineStr">
        <is>
          <t xml:space="preserve">2028-12-31</t>
        </is>
      </c>
      <c r="O392" t="inlineStr">
        <is>
          <t xml:space="preserve">Gene therapy, Small molecule</t>
        </is>
      </c>
      <c r="P392" s="3" t="str">
        <f>HYPERLINK("https://reporter.nih.gov/project-details/11496107","https://reporter.nih.gov/project-details/11496107")</f>
        <v>https://reporter.nih.gov/project-details/11496107</v>
      </c>
    </row>
    <row r="393">
      <c r="A393" t="inlineStr">
        <is>
          <t xml:space="preserve">2026-08-03</t>
        </is>
      </c>
      <c r="B393" t="inlineStr">
        <is>
          <t xml:space="preserve">3R01FD007275-03S1</t>
        </is>
      </c>
      <c r="C393" t="inlineStr">
        <is>
          <t xml:space="preserve">Sirolimus TSC Epilepsy Prevention Study (STEPS) IND#145820 11/8/2019</t>
        </is>
      </c>
      <c r="D393" t="inlineStr">
        <is>
          <t xml:space="preserve">Darcy Krueger</t>
        </is>
      </c>
      <c r="E393" t="inlineStr">
        <is>
          <t xml:space="preserve">Martina Bebin; Darcy Krueger</t>
        </is>
      </c>
      <c r="F393" t="inlineStr">
        <is>
          <t xml:space="preserve">CINCINNATI CHILDRENS HOSP MED CTR</t>
        </is>
      </c>
      <c r="G393" t="inlineStr">
        <is>
          <t xml:space="preserve">CINCINNATI</t>
        </is>
      </c>
      <c r="H393" t="inlineStr">
        <is>
          <t xml:space="preserve">OH</t>
        </is>
      </c>
      <c r="I393" t="inlineStr">
        <is>
          <t xml:space="preserve">FDA</t>
        </is>
      </c>
      <c r="J393" t="inlineStr">
        <is>
          <t xml:space="preserve">Food and Drug Administration</t>
        </is>
      </c>
      <c r="K393" t="inlineStr">
        <is>
          <t xml:space="preserve">2026</t>
        </is>
      </c>
      <c r="L393" t="inlineStr">
        <is>
          <t xml:space="preserve">605876</t>
        </is>
      </c>
      <c r="M393" t="inlineStr">
        <is>
          <t xml:space="preserve">2021-09-10</t>
        </is>
      </c>
      <c r="N393" t="inlineStr">
        <is>
          <t xml:space="preserve">2027-06-30</t>
        </is>
      </c>
      <c r="O393" t="inlineStr">
        <is>
          <t xml:space="preserve">Small molecule</t>
        </is>
      </c>
      <c r="P393" s="3" t="str">
        <f>HYPERLINK("https://reporter.nih.gov/project-details/11563810","https://reporter.nih.gov/project-details/11563810")</f>
        <v>https://reporter.nih.gov/project-details/11563810</v>
      </c>
    </row>
    <row r="394">
      <c r="A394" t="inlineStr">
        <is>
          <t xml:space="preserve">2026-08-03</t>
        </is>
      </c>
      <c r="B394" t="inlineStr">
        <is>
          <t xml:space="preserve">5R01MH133621-04</t>
        </is>
      </c>
      <c r="C394" t="inlineStr">
        <is>
          <t xml:space="preserve">Genetic Architecture of Early-Onset Psychosis in Mexicans (EPIMex)</t>
        </is>
      </c>
      <c r="D394" t="inlineStr">
        <is>
          <t xml:space="preserve">DAVID C GLAHN</t>
        </is>
      </c>
      <c r="E394" t="inlineStr">
        <is>
          <t xml:space="preserve">Laura A. Almasy; Carlos Daniel Bustamante; DAVID C GLAHN; Humberto Nicolini</t>
        </is>
      </c>
      <c r="F394" t="inlineStr">
        <is>
          <t xml:space="preserve">BOSTON CHILDREN'S HOSPITAL</t>
        </is>
      </c>
      <c r="G394" t="inlineStr">
        <is>
          <t xml:space="preserve">BOSTON</t>
        </is>
      </c>
      <c r="H394" t="inlineStr">
        <is>
          <t xml:space="preserve">MA</t>
        </is>
      </c>
      <c r="I394" t="inlineStr">
        <is>
          <t xml:space="preserve">NIMH</t>
        </is>
      </c>
      <c r="J394" t="inlineStr">
        <is>
          <t xml:space="preserve">National Institute of Mental Health</t>
        </is>
      </c>
      <c r="K394" t="inlineStr">
        <is>
          <t xml:space="preserve">2026</t>
        </is>
      </c>
      <c r="L394" t="inlineStr">
        <is>
          <t xml:space="preserve">1859303</t>
        </is>
      </c>
      <c r="M394" t="inlineStr">
        <is>
          <t xml:space="preserve">2023-07-14</t>
        </is>
      </c>
      <c r="N394" t="inlineStr">
        <is>
          <t xml:space="preserve">2028-05-31</t>
        </is>
      </c>
      <c r="O394" t="inlineStr">
        <is>
          <t xml:space="preserve"/>
        </is>
      </c>
      <c r="P394" s="3" t="str">
        <f>HYPERLINK("https://reporter.nih.gov/project-details/11387550","https://reporter.nih.gov/project-details/11387550")</f>
        <v>https://reporter.nih.gov/project-details/11387550</v>
      </c>
    </row>
    <row r="395">
      <c r="A395" t="inlineStr">
        <is>
          <t xml:space="preserve">2026-08-03</t>
        </is>
      </c>
      <c r="B395" t="inlineStr">
        <is>
          <t xml:space="preserve">2R01MH126929-06</t>
        </is>
      </c>
      <c r="C395" t="inlineStr">
        <is>
          <t xml:space="preserve">Latrophilin Function in Synapse Formation</t>
        </is>
      </c>
      <c r="D395" t="inlineStr">
        <is>
          <t xml:space="preserve">Thomas C. Sudhof</t>
        </is>
      </c>
      <c r="E395" t="inlineStr">
        <is>
          <t xml:space="preserve">Thomas C. Sudhof</t>
        </is>
      </c>
      <c r="F395" t="inlineStr">
        <is>
          <t xml:space="preserve">STANFORD UNIVERSITY</t>
        </is>
      </c>
      <c r="G395" t="inlineStr">
        <is>
          <t xml:space="preserve">STANFORD</t>
        </is>
      </c>
      <c r="H395" t="inlineStr">
        <is>
          <t xml:space="preserve">CA</t>
        </is>
      </c>
      <c r="I395" t="inlineStr">
        <is>
          <t xml:space="preserve">NIMH</t>
        </is>
      </c>
      <c r="J395" t="inlineStr">
        <is>
          <t xml:space="preserve">National Institute of Mental Health</t>
        </is>
      </c>
      <c r="K395" t="inlineStr">
        <is>
          <t xml:space="preserve">2026</t>
        </is>
      </c>
      <c r="L395" t="inlineStr">
        <is>
          <t xml:space="preserve">681257</t>
        </is>
      </c>
      <c r="M395" t="inlineStr">
        <is>
          <t xml:space="preserve">2026-08-01</t>
        </is>
      </c>
      <c r="N395" t="inlineStr">
        <is>
          <t xml:space="preserve">2031-05-31</t>
        </is>
      </c>
      <c r="O395" t="inlineStr">
        <is>
          <t xml:space="preserve">Gene therapy, Antibody, Device / stimulation</t>
        </is>
      </c>
      <c r="P395" s="3" t="str">
        <f>HYPERLINK("https://reporter.nih.gov/project-details/11376309","https://reporter.nih.gov/project-details/11376309")</f>
        <v>https://reporter.nih.gov/project-details/11376309</v>
      </c>
    </row>
    <row r="396">
      <c r="A396" t="inlineStr">
        <is>
          <t xml:space="preserve">2026-08-03</t>
        </is>
      </c>
      <c r="B396" t="inlineStr">
        <is>
          <t xml:space="preserve">5K08NS138691-03</t>
        </is>
      </c>
      <c r="C396" t="inlineStr">
        <is>
          <t xml:space="preserve">Understanding the Role of EIF4A2 in Neurodevelopment</t>
        </is>
      </c>
      <c r="D396" t="inlineStr">
        <is>
          <t xml:space="preserve">Anna Ruth Duncan</t>
        </is>
      </c>
      <c r="E396" t="inlineStr">
        <is>
          <t xml:space="preserve">Anna Ruth Duncan</t>
        </is>
      </c>
      <c r="F396" t="inlineStr">
        <is>
          <t xml:space="preserve">MASSACHUSETTS GENERAL HOSPITAL</t>
        </is>
      </c>
      <c r="G396" t="inlineStr">
        <is>
          <t xml:space="preserve">BOSTON</t>
        </is>
      </c>
      <c r="H396" t="inlineStr">
        <is>
          <t xml:space="preserve">MA</t>
        </is>
      </c>
      <c r="I396" t="inlineStr">
        <is>
          <t xml:space="preserve">NINDS</t>
        </is>
      </c>
      <c r="J396" t="inlineStr">
        <is>
          <t xml:space="preserve">National Institute of Neurological Disorders and Stroke</t>
        </is>
      </c>
      <c r="K396" t="inlineStr">
        <is>
          <t xml:space="preserve">2026</t>
        </is>
      </c>
      <c r="L396" t="inlineStr">
        <is>
          <t xml:space="preserve">234630</t>
        </is>
      </c>
      <c r="M396" t="inlineStr">
        <is>
          <t xml:space="preserve">2024-08-10</t>
        </is>
      </c>
      <c r="N396" t="inlineStr">
        <is>
          <t xml:space="preserve">2029-07-31</t>
        </is>
      </c>
      <c r="O396" t="inlineStr">
        <is>
          <t xml:space="preserve">Gene therapy, Peptide, Small molecule</t>
        </is>
      </c>
      <c r="P396" s="3" t="str">
        <f>HYPERLINK("https://reporter.nih.gov/project-details/11381025","https://reporter.nih.gov/project-details/11381025")</f>
        <v>https://reporter.nih.gov/project-details/11381025</v>
      </c>
    </row>
    <row r="397">
      <c r="A397" t="inlineStr">
        <is>
          <t xml:space="preserve">2026-08-03</t>
        </is>
      </c>
      <c r="B397" t="inlineStr">
        <is>
          <t xml:space="preserve">1R56NS144817-01A1</t>
        </is>
      </c>
      <c r="C397" t="inlineStr">
        <is>
          <t xml:space="preserve">The gut brain axis: microbial impact on neural function</t>
        </is>
      </c>
      <c r="D397" t="inlineStr">
        <is>
          <t xml:space="preserve">Mark Alkema</t>
        </is>
      </c>
      <c r="E397" t="inlineStr">
        <is>
          <t xml:space="preserve">Mark Alkema</t>
        </is>
      </c>
      <c r="F397" t="inlineStr">
        <is>
          <t xml:space="preserve">UNIV OF MASSACHUSETTS MED SCH WORCESTER</t>
        </is>
      </c>
      <c r="G397" t="inlineStr">
        <is>
          <t xml:space="preserve">WORCESTER</t>
        </is>
      </c>
      <c r="H397" t="inlineStr">
        <is>
          <t xml:space="preserve">MA</t>
        </is>
      </c>
      <c r="I397" t="inlineStr">
        <is>
          <t xml:space="preserve">NINDS</t>
        </is>
      </c>
      <c r="J397" t="inlineStr">
        <is>
          <t xml:space="preserve">National Institute of Neurological Disorders and Stroke</t>
        </is>
      </c>
      <c r="K397" t="inlineStr">
        <is>
          <t xml:space="preserve">2026</t>
        </is>
      </c>
      <c r="L397" t="inlineStr">
        <is>
          <t xml:space="preserve">578007</t>
        </is>
      </c>
      <c r="M397" t="inlineStr">
        <is>
          <t xml:space="preserve">2026-08-01</t>
        </is>
      </c>
      <c r="N397" t="inlineStr">
        <is>
          <t xml:space="preserve">2027-07-31</t>
        </is>
      </c>
      <c r="O397" t="inlineStr">
        <is>
          <t xml:space="preserve"/>
        </is>
      </c>
      <c r="P397" s="3" t="str">
        <f>HYPERLINK("https://reporter.nih.gov/project-details/11594150","https://reporter.nih.gov/project-details/11594150")</f>
        <v>https://reporter.nih.gov/project-details/11594150</v>
      </c>
    </row>
    <row r="398">
      <c r="A398" t="inlineStr">
        <is>
          <t xml:space="preserve">2026-08-03</t>
        </is>
      </c>
      <c r="B398" t="inlineStr">
        <is>
          <t xml:space="preserve">5K99ES037743-02</t>
        </is>
      </c>
      <c r="C398" t="inlineStr">
        <is>
          <t xml:space="preserve">Uncovering the Impact of Air Pollution Sources on Autism Spectrum Disorder: A Metabolomic Approach to Identifying Critical Biological Pathways</t>
        </is>
      </c>
      <c r="D398" t="inlineStr">
        <is>
          <t xml:space="preserve">Karl O'Sharkey</t>
        </is>
      </c>
      <c r="E398" t="inlineStr">
        <is>
          <t xml:space="preserve">Karl O'Sharkey</t>
        </is>
      </c>
      <c r="F398" t="inlineStr">
        <is>
          <t xml:space="preserve">UNIVERSITY OF CALIFORNIA LOS ANGELES</t>
        </is>
      </c>
      <c r="G398" t="inlineStr">
        <is>
          <t xml:space="preserve">LOS ANGELES</t>
        </is>
      </c>
      <c r="H398" t="inlineStr">
        <is>
          <t xml:space="preserve">CA</t>
        </is>
      </c>
      <c r="I398" t="inlineStr">
        <is>
          <t xml:space="preserve">NIEHS</t>
        </is>
      </c>
      <c r="J398" t="inlineStr">
        <is>
          <t xml:space="preserve">National Institute of Environmental Health Sciences</t>
        </is>
      </c>
      <c r="K398" t="inlineStr">
        <is>
          <t xml:space="preserve">2026</t>
        </is>
      </c>
      <c r="L398" t="inlineStr">
        <is>
          <t xml:space="preserve">120663</t>
        </is>
      </c>
      <c r="M398" t="inlineStr">
        <is>
          <t xml:space="preserve">2025-09-04</t>
        </is>
      </c>
      <c r="N398" t="inlineStr">
        <is>
          <t xml:space="preserve">2027-08-31</t>
        </is>
      </c>
      <c r="O398" t="inlineStr">
        <is>
          <t xml:space="preserve"/>
        </is>
      </c>
      <c r="P398" s="3" t="str">
        <f>HYPERLINK("https://reporter.nih.gov/project-details/11404869","https://reporter.nih.gov/project-details/11404869")</f>
        <v>https://reporter.nih.gov/project-details/11404869</v>
      </c>
    </row>
    <row r="399">
      <c r="A399" t="inlineStr">
        <is>
          <t xml:space="preserve">2026-08-03</t>
        </is>
      </c>
      <c r="B399" t="inlineStr">
        <is>
          <t xml:space="preserve">3K99NS140545-02S1</t>
        </is>
      </c>
      <c r="C399" t="inlineStr">
        <is>
          <t xml:space="preserve">Astrocyte-neuron interactions in Rett Syndrome and Fragile X Syndrome</t>
        </is>
      </c>
      <c r="D399" t="inlineStr">
        <is>
          <t xml:space="preserve">Kristine Anne Lyon</t>
        </is>
      </c>
      <c r="E399" t="inlineStr">
        <is>
          <t xml:space="preserve">Kristine Anne Lyon</t>
        </is>
      </c>
      <c r="F399" t="inlineStr">
        <is>
          <t xml:space="preserve">SALK INSTITUTE FOR BIOLOGICAL STUDIES</t>
        </is>
      </c>
      <c r="G399" t="inlineStr">
        <is>
          <t xml:space="preserve">La Jolla</t>
        </is>
      </c>
      <c r="H399" t="inlineStr">
        <is>
          <t xml:space="preserve">CA</t>
        </is>
      </c>
      <c r="I399" t="inlineStr">
        <is>
          <t xml:space="preserve">NINDS</t>
        </is>
      </c>
      <c r="J399" t="inlineStr">
        <is>
          <t xml:space="preserve">National Institute of Neurological Disorders and Stroke</t>
        </is>
      </c>
      <c r="K399" t="inlineStr">
        <is>
          <t xml:space="preserve">2026</t>
        </is>
      </c>
      <c r="L399" t="inlineStr">
        <is>
          <t xml:space="preserve">45161</t>
        </is>
      </c>
      <c r="M399" t="inlineStr">
        <is>
          <t xml:space="preserve">2025-08-07</t>
        </is>
      </c>
      <c r="N399" t="inlineStr">
        <is>
          <t xml:space="preserve">2027-02-28</t>
        </is>
      </c>
      <c r="O399" t="inlineStr">
        <is>
          <t xml:space="preserve">Gene therapy, Viral vector, Antibody, Small molecule</t>
        </is>
      </c>
      <c r="P399" s="3" t="str">
        <f>HYPERLINK("https://reporter.nih.gov/project-details/11584675","https://reporter.nih.gov/project-details/11584675")</f>
        <v>https://reporter.nih.gov/project-details/11584675</v>
      </c>
    </row>
    <row r="400">
      <c r="A400" t="inlineStr">
        <is>
          <t xml:space="preserve">2026-08-03</t>
        </is>
      </c>
      <c r="B400" t="inlineStr">
        <is>
          <t xml:space="preserve">5R01DC021174-03</t>
        </is>
      </c>
      <c r="C400" t="inlineStr">
        <is>
          <t xml:space="preserve">EMERGE: Early Markers of Expressive and Receptive (language) Growth in Emergent autistic toddlers.</t>
        </is>
      </c>
      <c r="D400" t="inlineStr">
        <is>
          <t xml:space="preserve">CONNIE L. KASARI</t>
        </is>
      </c>
      <c r="E400" t="inlineStr">
        <is>
          <t xml:space="preserve">Brian Antonio Boyd; CONNIE L. KASARI</t>
        </is>
      </c>
      <c r="F400" t="inlineStr">
        <is>
          <t xml:space="preserve">UNIVERSITY OF CALIFORNIA LOS ANGELES</t>
        </is>
      </c>
      <c r="G400" t="inlineStr">
        <is>
          <t xml:space="preserve">LOS ANGELES</t>
        </is>
      </c>
      <c r="H400" t="inlineStr">
        <is>
          <t xml:space="preserve">CA</t>
        </is>
      </c>
      <c r="I400" t="inlineStr">
        <is>
          <t xml:space="preserve">NIDCD</t>
        </is>
      </c>
      <c r="J400" t="inlineStr">
        <is>
          <t xml:space="preserve">National Institute on Deafness and Other Communication Disorders</t>
        </is>
      </c>
      <c r="K400" t="inlineStr">
        <is>
          <t xml:space="preserve">2026</t>
        </is>
      </c>
      <c r="L400" t="inlineStr">
        <is>
          <t xml:space="preserve">665168</t>
        </is>
      </c>
      <c r="M400" t="inlineStr">
        <is>
          <t xml:space="preserve">2024-08-23</t>
        </is>
      </c>
      <c r="N400" t="inlineStr">
        <is>
          <t xml:space="preserve">2029-07-31</t>
        </is>
      </c>
      <c r="O400" t="inlineStr">
        <is>
          <t xml:space="preserve">Behavioral</t>
        </is>
      </c>
      <c r="P400" s="3" t="str">
        <f>HYPERLINK("https://reporter.nih.gov/project-details/11392892","https://reporter.nih.gov/project-details/11392892")</f>
        <v>https://reporter.nih.gov/project-details/11392892</v>
      </c>
    </row>
    <row r="401">
      <c r="A401" t="inlineStr">
        <is>
          <t xml:space="preserve">2026-08-03</t>
        </is>
      </c>
      <c r="B401" t="inlineStr">
        <is>
          <t xml:space="preserve">5F31DC022526-03</t>
        </is>
      </c>
      <c r="C401" t="inlineStr">
        <is>
          <t xml:space="preserve">How genome architecture controls Protocadherin gene choice at single-allele resolution</t>
        </is>
      </c>
      <c r="D401" t="inlineStr">
        <is>
          <t xml:space="preserve">Alexander Buckley</t>
        </is>
      </c>
      <c r="E401" t="inlineStr">
        <is>
          <t xml:space="preserve">Alexander Buckley</t>
        </is>
      </c>
      <c r="F401" t="inlineStr">
        <is>
          <t xml:space="preserve">UNIVERSITY OF CALIFORNIA, SAN FRANCISCO</t>
        </is>
      </c>
      <c r="G401" t="inlineStr">
        <is>
          <t xml:space="preserve">SAN FRANCISCO</t>
        </is>
      </c>
      <c r="H401" t="inlineStr">
        <is>
          <t xml:space="preserve">CA</t>
        </is>
      </c>
      <c r="I401" t="inlineStr">
        <is>
          <t xml:space="preserve">NIDCD</t>
        </is>
      </c>
      <c r="J401" t="inlineStr">
        <is>
          <t xml:space="preserve">National Institute on Deafness and Other Communication Disorders</t>
        </is>
      </c>
      <c r="K401" t="inlineStr">
        <is>
          <t xml:space="preserve">2026</t>
        </is>
      </c>
      <c r="L401" t="inlineStr">
        <is>
          <t xml:space="preserve">48365</t>
        </is>
      </c>
      <c r="M401" t="inlineStr">
        <is>
          <t xml:space="preserve">2024-09-01</t>
        </is>
      </c>
      <c r="N401" t="inlineStr">
        <is>
          <t xml:space="preserve">2027-08-31</t>
        </is>
      </c>
      <c r="O401" t="inlineStr">
        <is>
          <t xml:space="preserve"/>
        </is>
      </c>
      <c r="P401" s="3" t="str">
        <f>HYPERLINK("https://reporter.nih.gov/project-details/11377129","https://reporter.nih.gov/project-details/11377129")</f>
        <v>https://reporter.nih.gov/project-details/11377129</v>
      </c>
    </row>
    <row r="402">
      <c r="A402" t="inlineStr">
        <is>
          <t xml:space="preserve">2026-07-31</t>
        </is>
      </c>
      <c r="B402" t="inlineStr">
        <is>
          <t xml:space="preserve">5R01DC012379-15</t>
        </is>
      </c>
      <c r="C402" t="inlineStr">
        <is>
          <t xml:space="preserve">Functional organization of the superior temporal gyrus for speech perception</t>
        </is>
      </c>
      <c r="D402" t="inlineStr">
        <is>
          <t xml:space="preserve">Edward Chang</t>
        </is>
      </c>
      <c r="E402" t="inlineStr">
        <is>
          <t xml:space="preserve">Edward Chang</t>
        </is>
      </c>
      <c r="F402" t="inlineStr">
        <is>
          <t xml:space="preserve">UNIVERSITY OF CALIFORNIA, SAN FRANCISCO</t>
        </is>
      </c>
      <c r="G402" t="inlineStr">
        <is>
          <t xml:space="preserve">SAN FRANCISCO</t>
        </is>
      </c>
      <c r="H402" t="inlineStr">
        <is>
          <t xml:space="preserve">CA</t>
        </is>
      </c>
      <c r="I402" t="inlineStr">
        <is>
          <t xml:space="preserve">NIDCD</t>
        </is>
      </c>
      <c r="J402" t="inlineStr">
        <is>
          <t xml:space="preserve">National Institute on Deafness and Other Communication Disorders</t>
        </is>
      </c>
      <c r="K402" t="inlineStr">
        <is>
          <t xml:space="preserve">2026</t>
        </is>
      </c>
      <c r="L402" t="inlineStr">
        <is>
          <t xml:space="preserve">681817</t>
        </is>
      </c>
      <c r="M402" t="inlineStr">
        <is>
          <t xml:space="preserve">2012-04-01</t>
        </is>
      </c>
      <c r="N402" t="inlineStr">
        <is>
          <t xml:space="preserve">2027-07-31</t>
        </is>
      </c>
      <c r="O402" t="inlineStr">
        <is>
          <t xml:space="preserve">Device / stimulation</t>
        </is>
      </c>
      <c r="P402" s="3" t="str">
        <f>HYPERLINK("https://reporter.nih.gov/project-details/11361054","https://reporter.nih.gov/project-details/11361054")</f>
        <v>https://reporter.nih.gov/project-details/11361054</v>
      </c>
    </row>
    <row r="403">
      <c r="A403" t="inlineStr">
        <is>
          <t xml:space="preserve">2026-07-31</t>
        </is>
      </c>
      <c r="B403" t="inlineStr">
        <is>
          <t xml:space="preserve">4RF1MH137325-02</t>
        </is>
      </c>
      <c r="C403" t="inlineStr">
        <is>
          <t xml:space="preserve">Foundation Models for Human Functional Neuroimaging with Applications to Psychiatric Disorders</t>
        </is>
      </c>
      <c r="D403" t="inlineStr">
        <is>
          <t xml:space="preserve">Vinod Menon</t>
        </is>
      </c>
      <c r="E403" t="inlineStr">
        <is>
          <t xml:space="preserve">Vinod Menon</t>
        </is>
      </c>
      <c r="F403" t="inlineStr">
        <is>
          <t xml:space="preserve">STANFORD UNIVERSITY</t>
        </is>
      </c>
      <c r="G403" t="inlineStr">
        <is>
          <t xml:space="preserve">STANFORD</t>
        </is>
      </c>
      <c r="H403" t="inlineStr">
        <is>
          <t xml:space="preserve">CA</t>
        </is>
      </c>
      <c r="I403" t="inlineStr">
        <is>
          <t xml:space="preserve">NIMH</t>
        </is>
      </c>
      <c r="J403" t="inlineStr">
        <is>
          <t xml:space="preserve">National Institute of Mental Health</t>
        </is>
      </c>
      <c r="K403" t="inlineStr">
        <is>
          <t xml:space="preserve">2026</t>
        </is>
      </c>
      <c r="L403" t="inlineStr">
        <is>
          <t xml:space="preserve">2766722</t>
        </is>
      </c>
      <c r="M403" t="inlineStr">
        <is>
          <t xml:space="preserve">2025-07-14</t>
        </is>
      </c>
      <c r="N403" t="inlineStr">
        <is>
          <t xml:space="preserve">2030-04-30</t>
        </is>
      </c>
      <c r="O403" t="inlineStr">
        <is>
          <t xml:space="preserve"/>
        </is>
      </c>
      <c r="P403" s="3" t="str">
        <f>HYPERLINK("https://reporter.nih.gov/project-details/11372161","https://reporter.nih.gov/project-details/11372161")</f>
        <v>https://reporter.nih.gov/project-details/11372161</v>
      </c>
    </row>
    <row r="404">
      <c r="A404" t="inlineStr">
        <is>
          <t xml:space="preserve">2026-07-31</t>
        </is>
      </c>
      <c r="B404" t="inlineStr">
        <is>
          <t xml:space="preserve">5K01HD109445-05</t>
        </is>
      </c>
      <c r="C404" t="inlineStr">
        <is>
          <t xml:space="preserve">The Role of CSF Dynamics in Infant Brain and Behavioral Development in Down Syndrome and Related Neurodevelopmental Disorders</t>
        </is>
      </c>
      <c r="D404" t="inlineStr">
        <is>
          <t xml:space="preserve">Dea Garic</t>
        </is>
      </c>
      <c r="E404" t="inlineStr">
        <is>
          <t xml:space="preserve">Dea Garic</t>
        </is>
      </c>
      <c r="F404" t="inlineStr">
        <is>
          <t xml:space="preserve">UNIV OF NORTH CAROLINA CHAPEL HILL</t>
        </is>
      </c>
      <c r="G404" t="inlineStr">
        <is>
          <t xml:space="preserve">CHAPEL HILL</t>
        </is>
      </c>
      <c r="H404" t="inlineStr">
        <is>
          <t xml:space="preserve">NC</t>
        </is>
      </c>
      <c r="I404" t="inlineStr">
        <is>
          <t xml:space="preserve">NICHD</t>
        </is>
      </c>
      <c r="J404" t="inlineStr">
        <is>
          <t xml:space="preserve">Eunice Kennedy Shriver National Institute of Child Health and Human Development</t>
        </is>
      </c>
      <c r="K404" t="inlineStr">
        <is>
          <t xml:space="preserve">2026</t>
        </is>
      </c>
      <c r="L404" t="inlineStr">
        <is>
          <t xml:space="preserve">132160</t>
        </is>
      </c>
      <c r="M404" t="inlineStr">
        <is>
          <t xml:space="preserve">2022-09-01</t>
        </is>
      </c>
      <c r="N404" t="inlineStr">
        <is>
          <t xml:space="preserve">2027-08-31</t>
        </is>
      </c>
      <c r="O404" t="inlineStr">
        <is>
          <t xml:space="preserve">Peptide, Small molecule, Behavioral</t>
        </is>
      </c>
      <c r="P404" s="3" t="str">
        <f>HYPERLINK("https://reporter.nih.gov/project-details/11387932","https://reporter.nih.gov/project-details/11387932")</f>
        <v>https://reporter.nih.gov/project-details/11387932</v>
      </c>
    </row>
    <row r="405">
      <c r="A405" t="inlineStr">
        <is>
          <t xml:space="preserve">2026-07-31</t>
        </is>
      </c>
      <c r="B405" t="inlineStr">
        <is>
          <t xml:space="preserve">5KL2TR002367-10</t>
        </is>
      </c>
      <c r="C405" t="inlineStr">
        <is>
          <t xml:space="preserve">Institutional Career Development Core</t>
        </is>
      </c>
      <c r="D405" t="inlineStr">
        <is>
          <t xml:space="preserve">NICOLE L NOLLEN</t>
        </is>
      </c>
      <c r="E405" t="inlineStr">
        <is>
          <t xml:space="preserve">MATTHEW W MOSCONI; NICOLE L NOLLEN</t>
        </is>
      </c>
      <c r="F405" t="inlineStr">
        <is>
          <t xml:space="preserve">UNIVERSITY OF KANSAS MEDICAL CENTER</t>
        </is>
      </c>
      <c r="G405" t="inlineStr">
        <is>
          <t xml:space="preserve">KANSAS CITY</t>
        </is>
      </c>
      <c r="H405" t="inlineStr">
        <is>
          <t xml:space="preserve">KS</t>
        </is>
      </c>
      <c r="I405" t="inlineStr">
        <is>
          <t xml:space="preserve">NCATS</t>
        </is>
      </c>
      <c r="J405" t="inlineStr">
        <is>
          <t xml:space="preserve">National Center for Advancing Translational Sciences</t>
        </is>
      </c>
      <c r="K405" t="inlineStr">
        <is>
          <t xml:space="preserve">2026</t>
        </is>
      </c>
      <c r="L405" t="inlineStr">
        <is>
          <t xml:space="preserve">919718</t>
        </is>
      </c>
      <c r="M405" t="inlineStr">
        <is>
          <t xml:space="preserve">2017-09-07</t>
        </is>
      </c>
      <c r="N405" t="inlineStr">
        <is>
          <t xml:space="preserve">2027-06-30</t>
        </is>
      </c>
      <c r="O405" t="inlineStr">
        <is>
          <t xml:space="preserve"/>
        </is>
      </c>
      <c r="P405" s="3" t="str">
        <f>HYPERLINK("https://reporter.nih.gov/project-details/11376066","https://reporter.nih.gov/project-details/11376066")</f>
        <v>https://reporter.nih.gov/project-details/11376066</v>
      </c>
    </row>
    <row r="406">
      <c r="A406" t="inlineStr">
        <is>
          <t xml:space="preserve">2026-07-31</t>
        </is>
      </c>
      <c r="B406" t="inlineStr">
        <is>
          <t xml:space="preserve">5R01HD104938-05</t>
        </is>
      </c>
      <c r="C406" t="inlineStr">
        <is>
          <t xml:space="preserve">Characterizing the spectrum of genomic and phenotypic variation in cerebral palsy</t>
        </is>
      </c>
      <c r="D406" t="inlineStr">
        <is>
          <t xml:space="preserve">Scott Myers</t>
        </is>
      </c>
      <c r="E406" t="inlineStr">
        <is>
          <t xml:space="preserve">Scott Myers</t>
        </is>
      </c>
      <c r="F406" t="inlineStr">
        <is>
          <t xml:space="preserve">GEISINGER CLINIC</t>
        </is>
      </c>
      <c r="G406" t="inlineStr">
        <is>
          <t xml:space="preserve">DANVILLE</t>
        </is>
      </c>
      <c r="H406" t="inlineStr">
        <is>
          <t xml:space="preserve">PA</t>
        </is>
      </c>
      <c r="I406" t="inlineStr">
        <is>
          <t xml:space="preserve">NICHD</t>
        </is>
      </c>
      <c r="J406" t="inlineStr">
        <is>
          <t xml:space="preserve">Eunice Kennedy Shriver National Institute of Child Health and Human Development</t>
        </is>
      </c>
      <c r="K406" t="inlineStr">
        <is>
          <t xml:space="preserve">2026</t>
        </is>
      </c>
      <c r="L406" t="inlineStr">
        <is>
          <t xml:space="preserve">672991</t>
        </is>
      </c>
      <c r="M406" t="inlineStr">
        <is>
          <t xml:space="preserve">2022-07-01</t>
        </is>
      </c>
      <c r="N406" t="inlineStr">
        <is>
          <t xml:space="preserve">2027-06-30</t>
        </is>
      </c>
      <c r="O406" t="inlineStr">
        <is>
          <t xml:space="preserve">Small molecule</t>
        </is>
      </c>
      <c r="P406" s="3" t="str">
        <f>HYPERLINK("https://reporter.nih.gov/project-details/11365911","https://reporter.nih.gov/project-details/11365911")</f>
        <v>https://reporter.nih.gov/project-details/11365911</v>
      </c>
    </row>
    <row r="407">
      <c r="A407" t="inlineStr">
        <is>
          <t xml:space="preserve">2026-07-31</t>
        </is>
      </c>
      <c r="B407" t="inlineStr">
        <is>
          <t xml:space="preserve">1R21NS144983-01A1</t>
        </is>
      </c>
      <c r="C407" t="inlineStr">
        <is>
          <t xml:space="preserve">Robo receptor regulation of neurodegeneration</t>
        </is>
      </c>
      <c r="D407" t="inlineStr">
        <is>
          <t xml:space="preserve">Marc R Freeman</t>
        </is>
      </c>
      <c r="E407" t="inlineStr">
        <is>
          <t xml:space="preserve">Marc R Freeman</t>
        </is>
      </c>
      <c r="F407" t="inlineStr">
        <is>
          <t xml:space="preserve">OREGON HEALTH &amp; SCIENCE UNIVERSITY</t>
        </is>
      </c>
      <c r="G407" t="inlineStr">
        <is>
          <t xml:space="preserve">PORTLAND</t>
        </is>
      </c>
      <c r="H407" t="inlineStr">
        <is>
          <t xml:space="preserve">OR</t>
        </is>
      </c>
      <c r="I407" t="inlineStr">
        <is>
          <t xml:space="preserve">NINDS</t>
        </is>
      </c>
      <c r="J407" t="inlineStr">
        <is>
          <t xml:space="preserve">National Institute of Neurological Disorders and Stroke</t>
        </is>
      </c>
      <c r="K407" t="inlineStr">
        <is>
          <t xml:space="preserve">2026</t>
        </is>
      </c>
      <c r="L407" t="inlineStr">
        <is>
          <t xml:space="preserve">429000</t>
        </is>
      </c>
      <c r="M407" t="inlineStr">
        <is>
          <t xml:space="preserve">2026-08-01</t>
        </is>
      </c>
      <c r="N407" t="inlineStr">
        <is>
          <t xml:space="preserve">2028-07-31</t>
        </is>
      </c>
      <c r="O407" t="inlineStr">
        <is>
          <t xml:space="preserve"/>
        </is>
      </c>
      <c r="P407" s="3" t="str">
        <f>HYPERLINK("https://reporter.nih.gov/project-details/11451873","https://reporter.nih.gov/project-details/11451873")</f>
        <v>https://reporter.nih.gov/project-details/11451873</v>
      </c>
    </row>
    <row r="408">
      <c r="A408" t="inlineStr">
        <is>
          <t xml:space="preserve">2026-07-31</t>
        </is>
      </c>
      <c r="B408" t="inlineStr">
        <is>
          <t xml:space="preserve">5F32EY036266-04</t>
        </is>
      </c>
      <c r="C408" t="inlineStr">
        <is>
          <t xml:space="preserve">From visual snapshots to allocentric representation of a 3D world</t>
        </is>
      </c>
      <c r="D408" t="inlineStr">
        <is>
          <t xml:space="preserve">Anna Shafer-Skelton</t>
        </is>
      </c>
      <c r="E408" t="inlineStr">
        <is>
          <t xml:space="preserve">Anna Shafer-Skelton</t>
        </is>
      </c>
      <c r="F408" t="inlineStr">
        <is>
          <t xml:space="preserve">UNIVERSITY OF TEXAS AT AUSTIN</t>
        </is>
      </c>
      <c r="G408" t="inlineStr">
        <is>
          <t xml:space="preserve">AUSTIN</t>
        </is>
      </c>
      <c r="H408" t="inlineStr">
        <is>
          <t xml:space="preserve">TX</t>
        </is>
      </c>
      <c r="I408" t="inlineStr">
        <is>
          <t xml:space="preserve">NEI</t>
        </is>
      </c>
      <c r="J408" t="inlineStr">
        <is>
          <t xml:space="preserve">National Eye Institute</t>
        </is>
      </c>
      <c r="K408" t="inlineStr">
        <is>
          <t xml:space="preserve">2026</t>
        </is>
      </c>
      <c r="L408" t="inlineStr">
        <is>
          <t xml:space="preserve">81580</t>
        </is>
      </c>
      <c r="M408" t="inlineStr">
        <is>
          <t xml:space="preserve">2024-08-01</t>
        </is>
      </c>
      <c r="N408" t="inlineStr">
        <is>
          <t xml:space="preserve">2027-07-31</t>
        </is>
      </c>
      <c r="O408" t="inlineStr">
        <is>
          <t xml:space="preserve">Device / stimulation</t>
        </is>
      </c>
      <c r="P408" s="3" t="str">
        <f>HYPERLINK("https://reporter.nih.gov/project-details/11393000","https://reporter.nih.gov/project-details/11393000")</f>
        <v>https://reporter.nih.gov/project-details/11393000</v>
      </c>
    </row>
    <row r="409">
      <c r="A409" t="inlineStr">
        <is>
          <t xml:space="preserve">2026-07-31</t>
        </is>
      </c>
      <c r="B409" t="inlineStr">
        <is>
          <t xml:space="preserve">1R01MH139631-01A1</t>
        </is>
      </c>
      <c r="C409" t="inlineStr">
        <is>
          <t xml:space="preserve">Deciphering the molecular function of FMRP</t>
        </is>
      </c>
      <c r="D409" t="inlineStr">
        <is>
          <t xml:space="preserve">Bingwei Lu</t>
        </is>
      </c>
      <c r="E409" t="inlineStr">
        <is>
          <t xml:space="preserve">Bingwei Lu</t>
        </is>
      </c>
      <c r="F409" t="inlineStr">
        <is>
          <t xml:space="preserve">STANFORD UNIVERSITY</t>
        </is>
      </c>
      <c r="G409" t="inlineStr">
        <is>
          <t xml:space="preserve">STANFORD</t>
        </is>
      </c>
      <c r="H409" t="inlineStr">
        <is>
          <t xml:space="preserve">CA</t>
        </is>
      </c>
      <c r="I409" t="inlineStr">
        <is>
          <t xml:space="preserve">NIMH</t>
        </is>
      </c>
      <c r="J409" t="inlineStr">
        <is>
          <t xml:space="preserve">National Institute of Mental Health</t>
        </is>
      </c>
      <c r="K409" t="inlineStr">
        <is>
          <t xml:space="preserve">2026</t>
        </is>
      </c>
      <c r="L409" t="inlineStr">
        <is>
          <t xml:space="preserve">739125</t>
        </is>
      </c>
      <c r="M409" t="inlineStr">
        <is>
          <t xml:space="preserve">2026-08-01</t>
        </is>
      </c>
      <c r="N409" t="inlineStr">
        <is>
          <t xml:space="preserve">2031-04-30</t>
        </is>
      </c>
      <c r="O409" t="inlineStr">
        <is>
          <t xml:space="preserve">Gene therapy, Peptide</t>
        </is>
      </c>
      <c r="P409" s="3" t="str">
        <f>HYPERLINK("https://reporter.nih.gov/project-details/11297642","https://reporter.nih.gov/project-details/11297642")</f>
        <v>https://reporter.nih.gov/project-details/11297642</v>
      </c>
    </row>
    <row r="410">
      <c r="A410" t="inlineStr">
        <is>
          <t xml:space="preserve">2026-07-31</t>
        </is>
      </c>
      <c r="B410" t="inlineStr">
        <is>
          <t xml:space="preserve">5K23MH137490-03</t>
        </is>
      </c>
      <c r="C410" t="inlineStr">
        <is>
          <t xml:space="preserve">Elucidating the full phenotype of the 15q13.3 deletion syndrome</t>
        </is>
      </c>
      <c r="D410" t="inlineStr">
        <is>
          <t xml:space="preserve">Takahiro Soda</t>
        </is>
      </c>
      <c r="E410" t="inlineStr">
        <is>
          <t xml:space="preserve">Takahiro Soda</t>
        </is>
      </c>
      <c r="F410" t="inlineStr">
        <is>
          <t xml:space="preserve">UNIVERSITY OF FLORIDA</t>
        </is>
      </c>
      <c r="G410" t="inlineStr">
        <is>
          <t xml:space="preserve">GAINESVILLE</t>
        </is>
      </c>
      <c r="H410" t="inlineStr">
        <is>
          <t xml:space="preserve">FL</t>
        </is>
      </c>
      <c r="I410" t="inlineStr">
        <is>
          <t xml:space="preserve">NIMH</t>
        </is>
      </c>
      <c r="J410" t="inlineStr">
        <is>
          <t xml:space="preserve">National Institute of Mental Health</t>
        </is>
      </c>
      <c r="K410" t="inlineStr">
        <is>
          <t xml:space="preserve">2026</t>
        </is>
      </c>
      <c r="L410" t="inlineStr">
        <is>
          <t xml:space="preserve">180149</t>
        </is>
      </c>
      <c r="M410" t="inlineStr">
        <is>
          <t xml:space="preserve">2024-07-12</t>
        </is>
      </c>
      <c r="N410" t="inlineStr">
        <is>
          <t xml:space="preserve">2029-06-30</t>
        </is>
      </c>
      <c r="O410" t="inlineStr">
        <is>
          <t xml:space="preserve"/>
        </is>
      </c>
      <c r="P410" s="3" t="str">
        <f>HYPERLINK("https://reporter.nih.gov/project-details/11334373","https://reporter.nih.gov/project-details/11334373")</f>
        <v>https://reporter.nih.gov/project-details/11334373</v>
      </c>
    </row>
    <row r="411">
      <c r="A411" t="inlineStr">
        <is>
          <t xml:space="preserve">2026-07-31</t>
        </is>
      </c>
      <c r="B411" t="inlineStr">
        <is>
          <t xml:space="preserve">2R01MH126960-06</t>
        </is>
      </c>
      <c r="C411" t="inlineStr">
        <is>
          <t xml:space="preserve">Convergent mechanisms for neurodevelopmental disorder genes</t>
        </is>
      </c>
      <c r="D411" t="inlineStr">
        <is>
          <t xml:space="preserve">Paul Michael Jenkins</t>
        </is>
      </c>
      <c r="E411" t="inlineStr">
        <is>
          <t xml:space="preserve">Nadav Ahituv; Kevin J Bender; Paul Michael Jenkins</t>
        </is>
      </c>
      <c r="F411" t="inlineStr">
        <is>
          <t xml:space="preserve">UNIVERSITY OF MICHIGAN AT ANN ARBOR</t>
        </is>
      </c>
      <c r="G411" t="inlineStr">
        <is>
          <t xml:space="preserve">ANN ARBOR</t>
        </is>
      </c>
      <c r="H411" t="inlineStr">
        <is>
          <t xml:space="preserve">MI</t>
        </is>
      </c>
      <c r="I411" t="inlineStr">
        <is>
          <t xml:space="preserve">NIMH</t>
        </is>
      </c>
      <c r="J411" t="inlineStr">
        <is>
          <t xml:space="preserve">National Institute of Mental Health</t>
        </is>
      </c>
      <c r="K411" t="inlineStr">
        <is>
          <t xml:space="preserve">2026</t>
        </is>
      </c>
      <c r="L411" t="inlineStr">
        <is>
          <t xml:space="preserve">759200</t>
        </is>
      </c>
      <c r="M411" t="inlineStr">
        <is>
          <t xml:space="preserve">2021-05-14</t>
        </is>
      </c>
      <c r="N411" t="inlineStr">
        <is>
          <t xml:space="preserve">2031-07-31</t>
        </is>
      </c>
      <c r="O411" t="inlineStr">
        <is>
          <t xml:space="preserve"/>
        </is>
      </c>
      <c r="P411" s="3" t="str">
        <f>HYPERLINK("https://reporter.nih.gov/project-details/11305354","https://reporter.nih.gov/project-details/11305354")</f>
        <v>https://reporter.nih.gov/project-details/11305354</v>
      </c>
    </row>
    <row r="412">
      <c r="A412" t="inlineStr">
        <is>
          <t xml:space="preserve">2026-07-31</t>
        </is>
      </c>
      <c r="B412" t="inlineStr">
        <is>
          <t xml:space="preserve">5R21NS142921-02</t>
        </is>
      </c>
      <c r="C412" t="inlineStr">
        <is>
          <t xml:space="preserve">Development of genetic approaches to study the organization and function of neocortical layer 1</t>
        </is>
      </c>
      <c r="D412" t="inlineStr">
        <is>
          <t xml:space="preserve">Bernardo Rudy</t>
        </is>
      </c>
      <c r="E412" t="inlineStr">
        <is>
          <t xml:space="preserve">Bernardo Rudy</t>
        </is>
      </c>
      <c r="F412" t="inlineStr">
        <is>
          <t xml:space="preserve">NEW YORK UNIVERSITY SCHOOL OF MEDICINE</t>
        </is>
      </c>
      <c r="G412" t="inlineStr">
        <is>
          <t xml:space="preserve">NEW YORK</t>
        </is>
      </c>
      <c r="H412" t="inlineStr">
        <is>
          <t xml:space="preserve">NY</t>
        </is>
      </c>
      <c r="I412" t="inlineStr">
        <is>
          <t xml:space="preserve">NINDS</t>
        </is>
      </c>
      <c r="J412" t="inlineStr">
        <is>
          <t xml:space="preserve">National Institute of Neurological Disorders and Stroke</t>
        </is>
      </c>
      <c r="K412" t="inlineStr">
        <is>
          <t xml:space="preserve">2026</t>
        </is>
      </c>
      <c r="L412" t="inlineStr">
        <is>
          <t xml:space="preserve">211875</t>
        </is>
      </c>
      <c r="M412" t="inlineStr">
        <is>
          <t xml:space="preserve">2025-09-25</t>
        </is>
      </c>
      <c r="N412" t="inlineStr">
        <is>
          <t xml:space="preserve">2027-08-31</t>
        </is>
      </c>
      <c r="O412" t="inlineStr">
        <is>
          <t xml:space="preserve"/>
        </is>
      </c>
      <c r="P412" s="3" t="str">
        <f>HYPERLINK("https://reporter.nih.gov/project-details/11422380","https://reporter.nih.gov/project-details/11422380")</f>
        <v>https://reporter.nih.gov/project-details/11422380</v>
      </c>
    </row>
    <row r="413">
      <c r="A413" t="inlineStr">
        <is>
          <t xml:space="preserve">2026-07-31</t>
        </is>
      </c>
      <c r="B413" t="inlineStr">
        <is>
          <t xml:space="preserve">5K23MH128466-05</t>
        </is>
      </c>
      <c r="C413" t="inlineStr">
        <is>
          <t xml:space="preserve">Neural Mechanisms of Depressive Symptoms in Youth with Autism SpectrumDisorder</t>
        </is>
      </c>
      <c r="D413" t="inlineStr">
        <is>
          <t xml:space="preserve">PETYA D RADOEVA</t>
        </is>
      </c>
      <c r="E413" t="inlineStr">
        <is>
          <t xml:space="preserve">PETYA D RADOEVA</t>
        </is>
      </c>
      <c r="F413" t="inlineStr">
        <is>
          <t xml:space="preserve">EMMA PENDLETON BRADLEY HOSPITAL</t>
        </is>
      </c>
      <c r="G413" t="inlineStr">
        <is>
          <t xml:space="preserve">Riverside</t>
        </is>
      </c>
      <c r="H413" t="inlineStr">
        <is>
          <t xml:space="preserve">RI</t>
        </is>
      </c>
      <c r="I413" t="inlineStr">
        <is>
          <t xml:space="preserve">NIMH</t>
        </is>
      </c>
      <c r="J413" t="inlineStr">
        <is>
          <t xml:space="preserve">National Institute of Mental Health</t>
        </is>
      </c>
      <c r="K413" t="inlineStr">
        <is>
          <t xml:space="preserve">2026</t>
        </is>
      </c>
      <c r="L413" t="inlineStr">
        <is>
          <t xml:space="preserve">196456</t>
        </is>
      </c>
      <c r="M413" t="inlineStr">
        <is>
          <t xml:space="preserve">2022-08-18</t>
        </is>
      </c>
      <c r="N413" t="inlineStr">
        <is>
          <t xml:space="preserve">2027-07-31</t>
        </is>
      </c>
      <c r="O413" t="inlineStr">
        <is>
          <t xml:space="preserve"/>
        </is>
      </c>
      <c r="P413" s="3" t="str">
        <f>HYPERLINK("https://reporter.nih.gov/project-details/11381089","https://reporter.nih.gov/project-details/11381089")</f>
        <v>https://reporter.nih.gov/project-details/11381089</v>
      </c>
    </row>
    <row r="414">
      <c r="A414" t="inlineStr">
        <is>
          <t xml:space="preserve">2026-07-31</t>
        </is>
      </c>
      <c r="B414" t="inlineStr">
        <is>
          <t xml:space="preserve">5R01AG100834-02</t>
        </is>
      </c>
      <c r="C414" t="inlineStr">
        <is>
          <t xml:space="preserve">Restoring Cognitive Function through Precision Neurostimulation: A Disease-Agnostic Approach Based on Convergent Hippocampal Dynamics.</t>
        </is>
      </c>
      <c r="D414" t="inlineStr">
        <is>
          <t xml:space="preserve">Rodney Craig Scott</t>
        </is>
      </c>
      <c r="E414" t="inlineStr">
        <is>
          <t xml:space="preserve">John Matthew Mahoney; Rodney Craig Scott</t>
        </is>
      </c>
      <c r="F414" t="inlineStr">
        <is>
          <t xml:space="preserve">NEMOURS CHILDREN'S HOSPITAL, DELAWARE</t>
        </is>
      </c>
      <c r="G414" t="inlineStr">
        <is>
          <t xml:space="preserve">WILMINGTON</t>
        </is>
      </c>
      <c r="H414" t="inlineStr">
        <is>
          <t xml:space="preserve">DE</t>
        </is>
      </c>
      <c r="I414" t="inlineStr">
        <is>
          <t xml:space="preserve">NIA</t>
        </is>
      </c>
      <c r="J414" t="inlineStr">
        <is>
          <t xml:space="preserve">National Institute on Aging</t>
        </is>
      </c>
      <c r="K414" t="inlineStr">
        <is>
          <t xml:space="preserve">2026</t>
        </is>
      </c>
      <c r="L414" t="inlineStr">
        <is>
          <t xml:space="preserve">526638</t>
        </is>
      </c>
      <c r="M414" t="inlineStr">
        <is>
          <t xml:space="preserve">2025-09-15</t>
        </is>
      </c>
      <c r="N414" t="inlineStr">
        <is>
          <t xml:space="preserve">2030-06-30</t>
        </is>
      </c>
      <c r="O414" t="inlineStr">
        <is>
          <t xml:space="preserve">Small molecule, Device / stimulation</t>
        </is>
      </c>
      <c r="P414" s="3" t="str">
        <f>HYPERLINK("https://reporter.nih.gov/project-details/11416621","https://reporter.nih.gov/project-details/11416621")</f>
        <v>https://reporter.nih.gov/project-details/11416621</v>
      </c>
    </row>
    <row r="415">
      <c r="A415" t="inlineStr">
        <is>
          <t xml:space="preserve">2026-07-31</t>
        </is>
      </c>
      <c r="B415" t="inlineStr">
        <is>
          <t xml:space="preserve">5R01MH132656-04</t>
        </is>
      </c>
      <c r="C415" t="inlineStr">
        <is>
          <t xml:space="preserve">A Hybrid Effectiveness-Implementation RCT of Virtual Interview Training for Autistic Transition-Age Youth</t>
        </is>
      </c>
      <c r="D415" t="inlineStr">
        <is>
          <t xml:space="preserve">Matthew James Smith</t>
        </is>
      </c>
      <c r="E415" t="inlineStr">
        <is>
          <t xml:space="preserve">Matthew James Smith</t>
        </is>
      </c>
      <c r="F415" t="inlineStr">
        <is>
          <t xml:space="preserve">UNIVERSITY OF MICHIGAN AT ANN ARBOR</t>
        </is>
      </c>
      <c r="G415" t="inlineStr">
        <is>
          <t xml:space="preserve">ANN ARBOR</t>
        </is>
      </c>
      <c r="H415" t="inlineStr">
        <is>
          <t xml:space="preserve">MI</t>
        </is>
      </c>
      <c r="I415" t="inlineStr">
        <is>
          <t xml:space="preserve">NIMH</t>
        </is>
      </c>
      <c r="J415" t="inlineStr">
        <is>
          <t xml:space="preserve">National Institute of Mental Health</t>
        </is>
      </c>
      <c r="K415" t="inlineStr">
        <is>
          <t xml:space="preserve">2026</t>
        </is>
      </c>
      <c r="L415" t="inlineStr">
        <is>
          <t xml:space="preserve">753753</t>
        </is>
      </c>
      <c r="M415" t="inlineStr">
        <is>
          <t xml:space="preserve">2023-09-01</t>
        </is>
      </c>
      <c r="N415" t="inlineStr">
        <is>
          <t xml:space="preserve">2027-05-31</t>
        </is>
      </c>
      <c r="O415" t="inlineStr">
        <is>
          <t xml:space="preserve">Behavioral</t>
        </is>
      </c>
      <c r="P415" s="3" t="str">
        <f>HYPERLINK("https://reporter.nih.gov/project-details/11350902","https://reporter.nih.gov/project-details/11350902")</f>
        <v>https://reporter.nih.gov/project-details/11350902</v>
      </c>
    </row>
    <row r="416">
      <c r="A416" t="inlineStr">
        <is>
          <t xml:space="preserve">2026-07-31</t>
        </is>
      </c>
      <c r="B416" t="inlineStr">
        <is>
          <t xml:space="preserve">1K99MH144590-01</t>
        </is>
      </c>
      <c r="C416" t="inlineStr">
        <is>
          <t xml:space="preserve">Brain Metabolic Dysfunction as a Mechanism of Autism Spectrum Disorder</t>
        </is>
      </c>
      <c r="D416" t="inlineStr">
        <is>
          <t xml:space="preserve">Meaghan Victoria Perdue</t>
        </is>
      </c>
      <c r="E416" t="inlineStr">
        <is>
          <t xml:space="preserve">Meaghan Victoria Perdue</t>
        </is>
      </c>
      <c r="F416" t="inlineStr">
        <is>
          <t xml:space="preserve">UNIV OF MASSACHUSETTS MED SCH WORCESTER</t>
        </is>
      </c>
      <c r="G416" t="inlineStr">
        <is>
          <t xml:space="preserve">WORCESTER</t>
        </is>
      </c>
      <c r="H416" t="inlineStr">
        <is>
          <t xml:space="preserve">MA</t>
        </is>
      </c>
      <c r="I416" t="inlineStr">
        <is>
          <t xml:space="preserve">NIMH</t>
        </is>
      </c>
      <c r="J416" t="inlineStr">
        <is>
          <t xml:space="preserve">National Institute of Mental Health</t>
        </is>
      </c>
      <c r="K416" t="inlineStr">
        <is>
          <t xml:space="preserve">2026</t>
        </is>
      </c>
      <c r="L416" t="inlineStr">
        <is>
          <t xml:space="preserve">125169</t>
        </is>
      </c>
      <c r="M416" t="inlineStr">
        <is>
          <t xml:space="preserve">2026-07-30</t>
        </is>
      </c>
      <c r="N416" t="inlineStr">
        <is>
          <t xml:space="preserve">2028-06-30</t>
        </is>
      </c>
      <c r="O416" t="inlineStr">
        <is>
          <t xml:space="preserve"/>
        </is>
      </c>
      <c r="P416" s="3" t="str">
        <f>HYPERLINK("https://reporter.nih.gov/project-details/11352798","https://reporter.nih.gov/project-details/11352798")</f>
        <v>https://reporter.nih.gov/project-details/11352798</v>
      </c>
    </row>
    <row r="417">
      <c r="A417" t="inlineStr">
        <is>
          <t xml:space="preserve">2026-07-31</t>
        </is>
      </c>
      <c r="B417" t="inlineStr">
        <is>
          <t xml:space="preserve">5R00HD108386-05</t>
        </is>
      </c>
      <c r="C417" t="inlineStr">
        <is>
          <t xml:space="preserve">Grounding models of category learning in the visual experiences of young children</t>
        </is>
      </c>
      <c r="D417" t="inlineStr">
        <is>
          <t xml:space="preserve">Bria Long</t>
        </is>
      </c>
      <c r="E417" t="inlineStr">
        <is>
          <t xml:space="preserve">Bria Long</t>
        </is>
      </c>
      <c r="F417" t="inlineStr">
        <is>
          <t xml:space="preserve">UNIVERSITY OF CALIFORNIA, SAN DIEGO</t>
        </is>
      </c>
      <c r="G417" t="inlineStr">
        <is>
          <t xml:space="preserve">LA JOLLA</t>
        </is>
      </c>
      <c r="H417" t="inlineStr">
        <is>
          <t xml:space="preserve">CA</t>
        </is>
      </c>
      <c r="I417" t="inlineStr">
        <is>
          <t xml:space="preserve">NICHD</t>
        </is>
      </c>
      <c r="J417" t="inlineStr">
        <is>
          <t xml:space="preserve">Eunice Kennedy Shriver National Institute of Child Health and Human Development</t>
        </is>
      </c>
      <c r="K417" t="inlineStr">
        <is>
          <t xml:space="preserve">2026</t>
        </is>
      </c>
      <c r="L417" t="inlineStr">
        <is>
          <t xml:space="preserve">233581</t>
        </is>
      </c>
      <c r="M417" t="inlineStr">
        <is>
          <t xml:space="preserve">2024-09-12</t>
        </is>
      </c>
      <c r="N417" t="inlineStr">
        <is>
          <t xml:space="preserve">2027-08-31</t>
        </is>
      </c>
      <c r="O417" t="inlineStr">
        <is>
          <t xml:space="preserve"/>
        </is>
      </c>
      <c r="P417" s="3" t="str">
        <f>HYPERLINK("https://reporter.nih.gov/project-details/11384131","https://reporter.nih.gov/project-details/11384131")</f>
        <v>https://reporter.nih.gov/project-details/11384131</v>
      </c>
    </row>
    <row r="418">
      <c r="A418" t="inlineStr">
        <is>
          <t xml:space="preserve">2026-07-31</t>
        </is>
      </c>
      <c r="B418" t="inlineStr">
        <is>
          <t xml:space="preserve">1F31MH141997-01A1</t>
        </is>
      </c>
      <c r="C418" t="inlineStr">
        <is>
          <t xml:space="preserve">Oxytocin-dopamine interactions in the reinforcement of selective peer relationships</t>
        </is>
      </c>
      <c r="D418" t="inlineStr">
        <is>
          <t xml:space="preserve">Alexis Black</t>
        </is>
      </c>
      <c r="E418" t="inlineStr">
        <is>
          <t xml:space="preserve">Alexis Black</t>
        </is>
      </c>
      <c r="F418" t="inlineStr">
        <is>
          <t xml:space="preserve">UNIVERSITY OF CALIFORNIA BERKELEY</t>
        </is>
      </c>
      <c r="G418" t="inlineStr">
        <is>
          <t xml:space="preserve">BERKELEY</t>
        </is>
      </c>
      <c r="H418" t="inlineStr">
        <is>
          <t xml:space="preserve">CA</t>
        </is>
      </c>
      <c r="I418" t="inlineStr">
        <is>
          <t xml:space="preserve">NIMH</t>
        </is>
      </c>
      <c r="J418" t="inlineStr">
        <is>
          <t xml:space="preserve">National Institute of Mental Health</t>
        </is>
      </c>
      <c r="K418" t="inlineStr">
        <is>
          <t xml:space="preserve">2026</t>
        </is>
      </c>
      <c r="L418" t="inlineStr">
        <is>
          <t xml:space="preserve">48971</t>
        </is>
      </c>
      <c r="M418" t="inlineStr">
        <is>
          <t xml:space="preserve">2026-08-01</t>
        </is>
      </c>
      <c r="N418" t="inlineStr">
        <is>
          <t xml:space="preserve">2028-07-31</t>
        </is>
      </c>
      <c r="O418" t="inlineStr">
        <is>
          <t xml:space="preserve">Gene therapy, Peptide, Small molecule, Device / stimulation</t>
        </is>
      </c>
      <c r="P418" s="3" t="str">
        <f>HYPERLINK("https://reporter.nih.gov/project-details/11389374","https://reporter.nih.gov/project-details/11389374")</f>
        <v>https://reporter.nih.gov/project-details/11389374</v>
      </c>
    </row>
    <row r="419">
      <c r="A419" t="inlineStr">
        <is>
          <t xml:space="preserve">2026-07-30</t>
        </is>
      </c>
      <c r="B419" t="inlineStr">
        <is>
          <t xml:space="preserve">5R01MH139864-02</t>
        </is>
      </c>
      <c r="C419" t="inlineStr">
        <is>
          <t xml:space="preserve">A Seasonal Switch: Alternative Neuroendocrine Mechanisms Regulating Aggression</t>
        </is>
      </c>
      <c r="D419" t="inlineStr">
        <is>
          <t xml:space="preserve">GREGORY E DEMAS</t>
        </is>
      </c>
      <c r="E419" t="inlineStr">
        <is>
          <t xml:space="preserve">GREGORY E DEMAS; Aaron M Jasnow</t>
        </is>
      </c>
      <c r="F419" t="inlineStr">
        <is>
          <t xml:space="preserve">TRUSTEES OF INDIANA UNIVERSITY</t>
        </is>
      </c>
      <c r="G419" t="inlineStr">
        <is>
          <t xml:space="preserve">BLOOMINGTON</t>
        </is>
      </c>
      <c r="H419" t="inlineStr">
        <is>
          <t xml:space="preserve">IN</t>
        </is>
      </c>
      <c r="I419" t="inlineStr">
        <is>
          <t xml:space="preserve">NIMH</t>
        </is>
      </c>
      <c r="J419" t="inlineStr">
        <is>
          <t xml:space="preserve">National Institute of Mental Health</t>
        </is>
      </c>
      <c r="K419" t="inlineStr">
        <is>
          <t xml:space="preserve">2026</t>
        </is>
      </c>
      <c r="L419" t="inlineStr">
        <is>
          <t xml:space="preserve">641943</t>
        </is>
      </c>
      <c r="M419" t="inlineStr">
        <is>
          <t xml:space="preserve">2025-05-08</t>
        </is>
      </c>
      <c r="N419" t="inlineStr">
        <is>
          <t xml:space="preserve">2030-02-28</t>
        </is>
      </c>
      <c r="O419" t="inlineStr">
        <is>
          <t xml:space="preserve">Viral vector</t>
        </is>
      </c>
      <c r="P419" s="3" t="str">
        <f>HYPERLINK("https://reporter.nih.gov/project-details/11332581","https://reporter.nih.gov/project-details/11332581")</f>
        <v>https://reporter.nih.gov/project-details/11332581</v>
      </c>
    </row>
    <row r="420">
      <c r="A420" t="inlineStr">
        <is>
          <t xml:space="preserve">2026-07-30</t>
        </is>
      </c>
      <c r="B420" t="inlineStr">
        <is>
          <t xml:space="preserve">1R21HD122490-01</t>
        </is>
      </c>
      <c r="C420" t="inlineStr">
        <is>
          <t xml:space="preserve">PATCHES - Physiological Assessment Technology for Child-Caregiver Health and Emotional Synchrony</t>
        </is>
      </c>
      <c r="D420" t="inlineStr">
        <is>
          <t xml:space="preserve">Yun Soung Kim</t>
        </is>
      </c>
      <c r="E420" t="inlineStr">
        <is>
          <t xml:space="preserve">Yun Soung Kim</t>
        </is>
      </c>
      <c r="F420" t="inlineStr">
        <is>
          <t xml:space="preserve">ICAHN SCHOOL OF MEDICINE AT MOUNT SINAI</t>
        </is>
      </c>
      <c r="G420" t="inlineStr">
        <is>
          <t xml:space="preserve">NEW YORK</t>
        </is>
      </c>
      <c r="H420" t="inlineStr">
        <is>
          <t xml:space="preserve">NY</t>
        </is>
      </c>
      <c r="I420" t="inlineStr">
        <is>
          <t xml:space="preserve">NICHD</t>
        </is>
      </c>
      <c r="J420" t="inlineStr">
        <is>
          <t xml:space="preserve">Eunice Kennedy Shriver National Institute of Child Health and Human Development</t>
        </is>
      </c>
      <c r="K420" t="inlineStr">
        <is>
          <t xml:space="preserve">2026</t>
        </is>
      </c>
      <c r="L420" t="inlineStr">
        <is>
          <t xml:space="preserve">478998</t>
        </is>
      </c>
      <c r="M420" t="inlineStr">
        <is>
          <t xml:space="preserve">2026-08-01</t>
        </is>
      </c>
      <c r="N420" t="inlineStr">
        <is>
          <t xml:space="preserve">2028-07-31</t>
        </is>
      </c>
      <c r="O420" t="inlineStr">
        <is>
          <t xml:space="preserve">Device / stimulation, Behavioral</t>
        </is>
      </c>
      <c r="P420" s="3" t="str">
        <f>HYPERLINK("https://reporter.nih.gov/project-details/11355336","https://reporter.nih.gov/project-details/11355336")</f>
        <v>https://reporter.nih.gov/project-details/11355336</v>
      </c>
    </row>
    <row r="421">
      <c r="A421" t="inlineStr">
        <is>
          <t xml:space="preserve">2026-07-30</t>
        </is>
      </c>
      <c r="B421" t="inlineStr">
        <is>
          <t xml:space="preserve">5D43TW009114-13</t>
        </is>
      </c>
      <c r="C421" t="inlineStr">
        <is>
          <t xml:space="preserve">Psychiatric research infrastructure for intervention and implementation in India – TEAMS</t>
        </is>
      </c>
      <c r="D421" t="inlineStr">
        <is>
          <t xml:space="preserve">Vishwajit Laxmikant Nimgaonkar</t>
        </is>
      </c>
      <c r="E421" t="inlineStr">
        <is>
          <t xml:space="preserve">Smita N Deshpande; Mary Elizabeth Hawk; Vishwajit Laxmikant Nimgaonkar</t>
        </is>
      </c>
      <c r="F421" t="inlineStr">
        <is>
          <t xml:space="preserve">UNIVERSITY OF PITTSBURGH AT PITTSBURGH</t>
        </is>
      </c>
      <c r="G421" t="inlineStr">
        <is>
          <t xml:space="preserve">PITTSBURGH</t>
        </is>
      </c>
      <c r="H421" t="inlineStr">
        <is>
          <t xml:space="preserve">PA</t>
        </is>
      </c>
      <c r="I421" t="inlineStr">
        <is>
          <t xml:space="preserve">FIC</t>
        </is>
      </c>
      <c r="J421" t="inlineStr">
        <is>
          <t xml:space="preserve">John E. Fogarty International Center for Advanced Study in the Health Sciences</t>
        </is>
      </c>
      <c r="K421" t="inlineStr">
        <is>
          <t xml:space="preserve">2026</t>
        </is>
      </c>
      <c r="L421" t="inlineStr">
        <is>
          <t xml:space="preserve">131101</t>
        </is>
      </c>
      <c r="M421" t="inlineStr">
        <is>
          <t xml:space="preserve">2014-06-01</t>
        </is>
      </c>
      <c r="N421" t="inlineStr">
        <is>
          <t xml:space="preserve">2029-05-31</t>
        </is>
      </c>
      <c r="O421" t="inlineStr">
        <is>
          <t xml:space="preserve"/>
        </is>
      </c>
      <c r="P421" s="3" t="str">
        <f>HYPERLINK("https://reporter.nih.gov/project-details/11391101","https://reporter.nih.gov/project-details/11391101")</f>
        <v>https://reporter.nih.gov/project-details/11391101</v>
      </c>
    </row>
    <row r="422">
      <c r="A422" t="inlineStr">
        <is>
          <t xml:space="preserve">2026-07-30</t>
        </is>
      </c>
      <c r="B422" t="inlineStr">
        <is>
          <t xml:space="preserve">5R01DC022338-02</t>
        </is>
      </c>
      <c r="C422" t="inlineStr">
        <is>
          <t xml:space="preserve">SibWatch: Optimizing Intervention Options for Infants and Toddlers with a High Likelihood for Social Communication Delays and Language Disorder</t>
        </is>
      </c>
      <c r="D422" t="inlineStr">
        <is>
          <t xml:space="preserve">Lauren Hazledine Hampton</t>
        </is>
      </c>
      <c r="E422" t="inlineStr">
        <is>
          <t xml:space="preserve">Lauren Hazledine Hampton</t>
        </is>
      </c>
      <c r="F422" t="inlineStr">
        <is>
          <t xml:space="preserve">UNIVERSITY OF TEXAS AT AUSTIN</t>
        </is>
      </c>
      <c r="G422" t="inlineStr">
        <is>
          <t xml:space="preserve">AUSTIN</t>
        </is>
      </c>
      <c r="H422" t="inlineStr">
        <is>
          <t xml:space="preserve">TX</t>
        </is>
      </c>
      <c r="I422" t="inlineStr">
        <is>
          <t xml:space="preserve">NIDCD</t>
        </is>
      </c>
      <c r="J422" t="inlineStr">
        <is>
          <t xml:space="preserve">National Institute on Deafness and Other Communication Disorders</t>
        </is>
      </c>
      <c r="K422" t="inlineStr">
        <is>
          <t xml:space="preserve">2026</t>
        </is>
      </c>
      <c r="L422" t="inlineStr">
        <is>
          <t xml:space="preserve">700852</t>
        </is>
      </c>
      <c r="M422" t="inlineStr">
        <is>
          <t xml:space="preserve">2025-09-04</t>
        </is>
      </c>
      <c r="N422" t="inlineStr">
        <is>
          <t xml:space="preserve">2030-07-31</t>
        </is>
      </c>
      <c r="O422" t="inlineStr">
        <is>
          <t xml:space="preserve"/>
        </is>
      </c>
      <c r="P422" s="3" t="str">
        <f>HYPERLINK("https://reporter.nih.gov/project-details/11415869","https://reporter.nih.gov/project-details/11415869")</f>
        <v>https://reporter.nih.gov/project-details/11415869</v>
      </c>
    </row>
    <row r="423">
      <c r="A423" t="inlineStr">
        <is>
          <t xml:space="preserve">2026-07-30</t>
        </is>
      </c>
      <c r="B423" t="inlineStr">
        <is>
          <t xml:space="preserve">5R01HD113594-03</t>
        </is>
      </c>
      <c r="C423" t="inlineStr">
        <is>
          <t xml:space="preserve">Role of CHAMP1, a neurodevelopmental disorder high risk gene, in human brain development and function</t>
        </is>
      </c>
      <c r="D423" t="inlineStr">
        <is>
          <t xml:space="preserve">Stefano Berto</t>
        </is>
      </c>
      <c r="E423" t="inlineStr">
        <is>
          <t xml:space="preserve">Stefano Berto</t>
        </is>
      </c>
      <c r="F423" t="inlineStr">
        <is>
          <t xml:space="preserve">MEDICAL UNIVERSITY OF SOUTH CAROLINA</t>
        </is>
      </c>
      <c r="G423" t="inlineStr">
        <is>
          <t xml:space="preserve">CHARLESTON</t>
        </is>
      </c>
      <c r="H423" t="inlineStr">
        <is>
          <t xml:space="preserve">SC</t>
        </is>
      </c>
      <c r="I423" t="inlineStr">
        <is>
          <t xml:space="preserve">NICHD</t>
        </is>
      </c>
      <c r="J423" t="inlineStr">
        <is>
          <t xml:space="preserve">Eunice Kennedy Shriver National Institute of Child Health and Human Development</t>
        </is>
      </c>
      <c r="K423" t="inlineStr">
        <is>
          <t xml:space="preserve">2026</t>
        </is>
      </c>
      <c r="L423" t="inlineStr">
        <is>
          <t xml:space="preserve">470895</t>
        </is>
      </c>
      <c r="M423" t="inlineStr">
        <is>
          <t xml:space="preserve">2024-09-19</t>
        </is>
      </c>
      <c r="N423" t="inlineStr">
        <is>
          <t xml:space="preserve">2029-06-30</t>
        </is>
      </c>
      <c r="O423" t="inlineStr">
        <is>
          <t xml:space="preserve">Small molecule</t>
        </is>
      </c>
      <c r="P423" s="3" t="str">
        <f>HYPERLINK("https://reporter.nih.gov/project-details/11378489","https://reporter.nih.gov/project-details/11378489")</f>
        <v>https://reporter.nih.gov/project-details/11378489</v>
      </c>
    </row>
    <row r="424">
      <c r="A424" t="inlineStr">
        <is>
          <t xml:space="preserve">2026-07-30</t>
        </is>
      </c>
      <c r="B424" t="inlineStr">
        <is>
          <t xml:space="preserve">5R01HD110860-04</t>
        </is>
      </c>
      <c r="C424" t="inlineStr">
        <is>
          <t xml:space="preserve">Gravida traumatic brain injury (TBI) impacts neurodevelopment of the offspring</t>
        </is>
      </c>
      <c r="D424" t="inlineStr">
        <is>
          <t xml:space="preserve">Shenfeng Qiu</t>
        </is>
      </c>
      <c r="E424" t="inlineStr">
        <is>
          <t xml:space="preserve">Jonathan Lifshitz; Shenfeng Qiu</t>
        </is>
      </c>
      <c r="F424" t="inlineStr">
        <is>
          <t xml:space="preserve">UNIVERSITY OF ARIZONA</t>
        </is>
      </c>
      <c r="G424" t="inlineStr">
        <is>
          <t xml:space="preserve">TUCSON</t>
        </is>
      </c>
      <c r="H424" t="inlineStr">
        <is>
          <t xml:space="preserve">AZ</t>
        </is>
      </c>
      <c r="I424" t="inlineStr">
        <is>
          <t xml:space="preserve">NICHD</t>
        </is>
      </c>
      <c r="J424" t="inlineStr">
        <is>
          <t xml:space="preserve">Eunice Kennedy Shriver National Institute of Child Health and Human Development</t>
        </is>
      </c>
      <c r="K424" t="inlineStr">
        <is>
          <t xml:space="preserve">2026</t>
        </is>
      </c>
      <c r="L424" t="inlineStr">
        <is>
          <t xml:space="preserve">409845</t>
        </is>
      </c>
      <c r="M424" t="inlineStr">
        <is>
          <t xml:space="preserve">2023-09-01</t>
        </is>
      </c>
      <c r="N424" t="inlineStr">
        <is>
          <t xml:space="preserve">2028-05-31</t>
        </is>
      </c>
      <c r="O424" t="inlineStr">
        <is>
          <t xml:space="preserve">Small molecule</t>
        </is>
      </c>
      <c r="P424" s="3" t="str">
        <f>HYPERLINK("https://reporter.nih.gov/project-details/11327659","https://reporter.nih.gov/project-details/11327659")</f>
        <v>https://reporter.nih.gov/project-details/11327659</v>
      </c>
    </row>
    <row r="425">
      <c r="A425" t="inlineStr">
        <is>
          <t xml:space="preserve">2026-07-30</t>
        </is>
      </c>
      <c r="B425" t="inlineStr">
        <is>
          <t xml:space="preserve">5R35GM147420-05</t>
        </is>
      </c>
      <c r="C425" t="inlineStr">
        <is>
          <t xml:space="preserve">Chemical toolbox for multiscale, integrative imaging: Connecting cellular gene expression to organ-scale phenotype</t>
        </is>
      </c>
      <c r="D425" t="inlineStr">
        <is>
          <t xml:space="preserve">Hee-Sun Han</t>
        </is>
      </c>
      <c r="E425" t="inlineStr">
        <is>
          <t xml:space="preserve">Hee-Sun Han</t>
        </is>
      </c>
      <c r="F425" t="inlineStr">
        <is>
          <t xml:space="preserve">UNIVERSITY OF ILLINOIS AT URBANA-CHAMPAIGN</t>
        </is>
      </c>
      <c r="G425" t="inlineStr">
        <is>
          <t xml:space="preserve">CHAMPAIGN</t>
        </is>
      </c>
      <c r="H425" t="inlineStr">
        <is>
          <t xml:space="preserve">IL</t>
        </is>
      </c>
      <c r="I425" t="inlineStr">
        <is>
          <t xml:space="preserve">NIGMS</t>
        </is>
      </c>
      <c r="J425" t="inlineStr">
        <is>
          <t xml:space="preserve">National Institute of General Medical Sciences</t>
        </is>
      </c>
      <c r="K425" t="inlineStr">
        <is>
          <t xml:space="preserve">2026</t>
        </is>
      </c>
      <c r="L425" t="inlineStr">
        <is>
          <t xml:space="preserve">396500</t>
        </is>
      </c>
      <c r="M425" t="inlineStr">
        <is>
          <t xml:space="preserve">2022-09-24</t>
        </is>
      </c>
      <c r="N425" t="inlineStr">
        <is>
          <t xml:space="preserve">2027-08-31</t>
        </is>
      </c>
      <c r="O425" t="inlineStr">
        <is>
          <t xml:space="preserve">Gene therapy, Device / stimulation</t>
        </is>
      </c>
      <c r="P425" s="3" t="str">
        <f>HYPERLINK("https://reporter.nih.gov/project-details/11389571","https://reporter.nih.gov/project-details/11389571")</f>
        <v>https://reporter.nih.gov/project-details/11389571</v>
      </c>
    </row>
    <row r="426">
      <c r="A426" t="inlineStr">
        <is>
          <t xml:space="preserve">2026-07-30</t>
        </is>
      </c>
      <c r="B426" t="inlineStr">
        <is>
          <t xml:space="preserve">1R21HD119634-01A1</t>
        </is>
      </c>
      <c r="C426" t="inlineStr">
        <is>
          <t xml:space="preserve">Developmental reprogramming by gene environment interactions</t>
        </is>
      </c>
      <c r="D426" t="inlineStr">
        <is>
          <t xml:space="preserve">Heidi Lempradl</t>
        </is>
      </c>
      <c r="E426" t="inlineStr">
        <is>
          <t xml:space="preserve">Heidi Lempradl</t>
        </is>
      </c>
      <c r="F426" t="inlineStr">
        <is>
          <t xml:space="preserve">VAN ANDEL RESEARCH INSTITUTE</t>
        </is>
      </c>
      <c r="G426" t="inlineStr">
        <is>
          <t xml:space="preserve">GRAND RAPIDS</t>
        </is>
      </c>
      <c r="H426" t="inlineStr">
        <is>
          <t xml:space="preserve">MI</t>
        </is>
      </c>
      <c r="I426" t="inlineStr">
        <is>
          <t xml:space="preserve">NICHD</t>
        </is>
      </c>
      <c r="J426" t="inlineStr">
        <is>
          <t xml:space="preserve">Eunice Kennedy Shriver National Institute of Child Health and Human Development</t>
        </is>
      </c>
      <c r="K426" t="inlineStr">
        <is>
          <t xml:space="preserve">2026</t>
        </is>
      </c>
      <c r="L426" t="inlineStr">
        <is>
          <t xml:space="preserve">528000</t>
        </is>
      </c>
      <c r="M426" t="inlineStr">
        <is>
          <t xml:space="preserve">2026-08-01</t>
        </is>
      </c>
      <c r="N426" t="inlineStr">
        <is>
          <t xml:space="preserve">2028-07-31</t>
        </is>
      </c>
      <c r="O426" t="inlineStr">
        <is>
          <t xml:space="preserve">Device / stimulation</t>
        </is>
      </c>
      <c r="P426" s="3" t="str">
        <f>HYPERLINK("https://reporter.nih.gov/project-details/11371337","https://reporter.nih.gov/project-details/11371337")</f>
        <v>https://reporter.nih.gov/project-details/11371337</v>
      </c>
    </row>
    <row r="427">
      <c r="A427" t="inlineStr">
        <is>
          <t xml:space="preserve">2026-07-30</t>
        </is>
      </c>
      <c r="B427" t="inlineStr">
        <is>
          <t xml:space="preserve">1S10GM164846-01</t>
        </is>
      </c>
      <c r="C427" t="inlineStr">
        <is>
          <t xml:space="preserve">Acquisition of a spinning disk confocal fluorescence microscope to promote interdisciplinary biomedical research and education</t>
        </is>
      </c>
      <c r="D427" t="inlineStr">
        <is>
          <t xml:space="preserve">Robert Alan Mans</t>
        </is>
      </c>
      <c r="E427" t="inlineStr">
        <is>
          <t xml:space="preserve">Robert Alan Mans</t>
        </is>
      </c>
      <c r="F427" t="inlineStr">
        <is>
          <t xml:space="preserve">GEORGIA SOUTHERN UNIVERSITY</t>
        </is>
      </c>
      <c r="G427" t="inlineStr">
        <is>
          <t xml:space="preserve">STATESBORO</t>
        </is>
      </c>
      <c r="H427" t="inlineStr">
        <is>
          <t xml:space="preserve">GA</t>
        </is>
      </c>
      <c r="I427" t="inlineStr">
        <is>
          <t xml:space="preserve">NIGMS</t>
        </is>
      </c>
      <c r="J427" t="inlineStr">
        <is>
          <t xml:space="preserve">National Institute of General Medical Sciences</t>
        </is>
      </c>
      <c r="K427" t="inlineStr">
        <is>
          <t xml:space="preserve">2026</t>
        </is>
      </c>
      <c r="L427" t="inlineStr">
        <is>
          <t xml:space="preserve">249954</t>
        </is>
      </c>
      <c r="M427" t="inlineStr">
        <is>
          <t xml:space="preserve">2026-08-01</t>
        </is>
      </c>
      <c r="N427" t="inlineStr">
        <is>
          <t xml:space="preserve">2027-07-31</t>
        </is>
      </c>
      <c r="O427" t="inlineStr">
        <is>
          <t xml:space="preserve">Small molecule</t>
        </is>
      </c>
      <c r="P427" s="3" t="str">
        <f>HYPERLINK("https://reporter.nih.gov/project-details/11366665","https://reporter.nih.gov/project-details/11366665")</f>
        <v>https://reporter.nih.gov/project-details/11366665</v>
      </c>
    </row>
    <row r="428">
      <c r="A428" t="inlineStr">
        <is>
          <t xml:space="preserve">2026-07-30</t>
        </is>
      </c>
      <c r="B428" t="inlineStr">
        <is>
          <t xml:space="preserve">1R01DC023215-01A1</t>
        </is>
      </c>
      <c r="C428" t="inlineStr">
        <is>
          <t xml:space="preserve">Mechanisms of serotonergic signaling in the auditory midbrain in aging</t>
        </is>
      </c>
      <c r="D428" t="inlineStr">
        <is>
          <t xml:space="preserve">Marina Augusto Silveira</t>
        </is>
      </c>
      <c r="E428" t="inlineStr">
        <is>
          <t xml:space="preserve">Marina Augusto Silveira</t>
        </is>
      </c>
      <c r="F428" t="inlineStr">
        <is>
          <t xml:space="preserve">UNIVERSITY OF TEXAS SAN ANTONIO</t>
        </is>
      </c>
      <c r="G428" t="inlineStr">
        <is>
          <t xml:space="preserve">SAN ANTONIO</t>
        </is>
      </c>
      <c r="H428" t="inlineStr">
        <is>
          <t xml:space="preserve">TX</t>
        </is>
      </c>
      <c r="I428" t="inlineStr">
        <is>
          <t xml:space="preserve">NIDCD</t>
        </is>
      </c>
      <c r="J428" t="inlineStr">
        <is>
          <t xml:space="preserve">National Institute on Deafness and Other Communication Disorders</t>
        </is>
      </c>
      <c r="K428" t="inlineStr">
        <is>
          <t xml:space="preserve">2026</t>
        </is>
      </c>
      <c r="L428" t="inlineStr">
        <is>
          <t xml:space="preserve">466462</t>
        </is>
      </c>
      <c r="M428" t="inlineStr">
        <is>
          <t xml:space="preserve">2026-07-28</t>
        </is>
      </c>
      <c r="N428" t="inlineStr">
        <is>
          <t xml:space="preserve">2031-06-30</t>
        </is>
      </c>
      <c r="O428" t="inlineStr">
        <is>
          <t xml:space="preserve">Peptide, Small molecule, Device / stimulation</t>
        </is>
      </c>
      <c r="P428" s="3" t="str">
        <f>HYPERLINK("https://reporter.nih.gov/project-details/11447126","https://reporter.nih.gov/project-details/11447126")</f>
        <v>https://reporter.nih.gov/project-details/11447126</v>
      </c>
    </row>
    <row r="429">
      <c r="A429" t="inlineStr">
        <is>
          <t xml:space="preserve">2026-07-30</t>
        </is>
      </c>
      <c r="B429" t="inlineStr">
        <is>
          <t xml:space="preserve">1F31DC024065-01</t>
        </is>
      </c>
      <c r="C429" t="inlineStr">
        <is>
          <t xml:space="preserve">It takes two: Emergence of speech and language features of interpersonal synchrony in school-age autistic children</t>
        </is>
      </c>
      <c r="D429" t="inlineStr">
        <is>
          <t xml:space="preserve">Margaret Lynn McAllister</t>
        </is>
      </c>
      <c r="E429" t="inlineStr">
        <is>
          <t xml:space="preserve">Margaret Lynn McAllister</t>
        </is>
      </c>
      <c r="F429" t="inlineStr">
        <is>
          <t xml:space="preserve">UNIV OF NORTH CAROLINA CHAPEL HILL</t>
        </is>
      </c>
      <c r="G429" t="inlineStr">
        <is>
          <t xml:space="preserve">CHAPEL HILL</t>
        </is>
      </c>
      <c r="H429" t="inlineStr">
        <is>
          <t xml:space="preserve">NC</t>
        </is>
      </c>
      <c r="I429" t="inlineStr">
        <is>
          <t xml:space="preserve">NIDCD</t>
        </is>
      </c>
      <c r="J429" t="inlineStr">
        <is>
          <t xml:space="preserve">National Institute on Deafness and Other Communication Disorders</t>
        </is>
      </c>
      <c r="K429" t="inlineStr">
        <is>
          <t xml:space="preserve">2026</t>
        </is>
      </c>
      <c r="L429" t="inlineStr">
        <is>
          <t xml:space="preserve">43714</t>
        </is>
      </c>
      <c r="M429" t="inlineStr">
        <is>
          <t xml:space="preserve">2026-09-01</t>
        </is>
      </c>
      <c r="N429" t="inlineStr">
        <is>
          <t xml:space="preserve">2029-08-31</t>
        </is>
      </c>
      <c r="O429" t="inlineStr">
        <is>
          <t xml:space="preserve"/>
        </is>
      </c>
      <c r="P429" s="3" t="str">
        <f>HYPERLINK("https://reporter.nih.gov/project-details/11461564","https://reporter.nih.gov/project-details/11461564")</f>
        <v>https://reporter.nih.gov/project-details/11461564</v>
      </c>
    </row>
    <row r="430">
      <c r="A430" t="inlineStr">
        <is>
          <t xml:space="preserve">2026-07-30</t>
        </is>
      </c>
      <c r="B430" t="inlineStr">
        <is>
          <t xml:space="preserve">5K08NS140553-02</t>
        </is>
      </c>
      <c r="C430" t="inlineStr">
        <is>
          <t xml:space="preserve">Defining JNK-associated neurodevelopmental disorders</t>
        </is>
      </c>
      <c r="D430" t="inlineStr">
        <is>
          <t xml:space="preserve">Tomoki T Nomakuchi</t>
        </is>
      </c>
      <c r="E430" t="inlineStr">
        <is>
          <t xml:space="preserve">Tomoki T Nomakuchi</t>
        </is>
      </c>
      <c r="F430" t="inlineStr">
        <is>
          <t xml:space="preserve">CHILDREN'S HOSP OF PHILADELPHIA</t>
        </is>
      </c>
      <c r="G430" t="inlineStr">
        <is>
          <t xml:space="preserve">PHILADELPHIA</t>
        </is>
      </c>
      <c r="H430" t="inlineStr">
        <is>
          <t xml:space="preserve">PA</t>
        </is>
      </c>
      <c r="I430" t="inlineStr">
        <is>
          <t xml:space="preserve">NINDS</t>
        </is>
      </c>
      <c r="J430" t="inlineStr">
        <is>
          <t xml:space="preserve">National Institute of Neurological Disorders and Stroke</t>
        </is>
      </c>
      <c r="K430" t="inlineStr">
        <is>
          <t xml:space="preserve">2026</t>
        </is>
      </c>
      <c r="L430" t="inlineStr">
        <is>
          <t xml:space="preserve">221400</t>
        </is>
      </c>
      <c r="M430" t="inlineStr">
        <is>
          <t xml:space="preserve">2025-08-01</t>
        </is>
      </c>
      <c r="N430" t="inlineStr">
        <is>
          <t xml:space="preserve">2030-07-31</t>
        </is>
      </c>
      <c r="O430" t="inlineStr">
        <is>
          <t xml:space="preserve">Gene therapy, Small molecule</t>
        </is>
      </c>
      <c r="P430" s="3" t="str">
        <f>HYPERLINK("https://reporter.nih.gov/project-details/11383141","https://reporter.nih.gov/project-details/11383141")</f>
        <v>https://reporter.nih.gov/project-details/11383141</v>
      </c>
    </row>
    <row r="431">
      <c r="A431" t="inlineStr">
        <is>
          <t xml:space="preserve">2026-07-30</t>
        </is>
      </c>
      <c r="B431" t="inlineStr">
        <is>
          <t xml:space="preserve">5R00HD105001-05</t>
        </is>
      </c>
      <c r="C431" t="inlineStr">
        <is>
          <t xml:space="preserve">Functional analysis of histone modifier Autism Spectrum Disorders risk genes in vertebrate development</t>
        </is>
      </c>
      <c r="D431" t="inlineStr">
        <is>
          <t xml:space="preserve">Valerie Angela Tornini</t>
        </is>
      </c>
      <c r="E431" t="inlineStr">
        <is>
          <t xml:space="preserve">Valerie Angela Tornini</t>
        </is>
      </c>
      <c r="F431" t="inlineStr">
        <is>
          <t xml:space="preserve">UNIVERSITY OF CALIFORNIA LOS ANGELES</t>
        </is>
      </c>
      <c r="G431" t="inlineStr">
        <is>
          <t xml:space="preserve">LOS ANGELES</t>
        </is>
      </c>
      <c r="H431" t="inlineStr">
        <is>
          <t xml:space="preserve">CA</t>
        </is>
      </c>
      <c r="I431" t="inlineStr">
        <is>
          <t xml:space="preserve">NICHD</t>
        </is>
      </c>
      <c r="J431" t="inlineStr">
        <is>
          <t xml:space="preserve">Eunice Kennedy Shriver National Institute of Child Health and Human Development</t>
        </is>
      </c>
      <c r="K431" t="inlineStr">
        <is>
          <t xml:space="preserve">2026</t>
        </is>
      </c>
      <c r="L431" t="inlineStr">
        <is>
          <t xml:space="preserve">248998</t>
        </is>
      </c>
      <c r="M431" t="inlineStr">
        <is>
          <t xml:space="preserve">2024-08-01</t>
        </is>
      </c>
      <c r="N431" t="inlineStr">
        <is>
          <t xml:space="preserve">2027-07-31</t>
        </is>
      </c>
      <c r="O431" t="inlineStr">
        <is>
          <t xml:space="preserve"/>
        </is>
      </c>
      <c r="P431" s="3" t="str">
        <f>HYPERLINK("https://reporter.nih.gov/project-details/11375065","https://reporter.nih.gov/project-details/11375065")</f>
        <v>https://reporter.nih.gov/project-details/11375065</v>
      </c>
    </row>
    <row r="432">
      <c r="A432" t="inlineStr">
        <is>
          <t xml:space="preserve">2026-07-30</t>
        </is>
      </c>
      <c r="B432" t="inlineStr">
        <is>
          <t xml:space="preserve">5R01HD042182-22</t>
        </is>
      </c>
      <c r="C432" t="inlineStr">
        <is>
          <t xml:space="preserve">Regulation of 22q11 Genes in Embryonic and Adult Forebrain</t>
        </is>
      </c>
      <c r="D432" t="inlineStr">
        <is>
          <t xml:space="preserve">ANTHONY S LAMANTIA</t>
        </is>
      </c>
      <c r="E432" t="inlineStr">
        <is>
          <t xml:space="preserve">ANTHONY S LAMANTIA</t>
        </is>
      </c>
      <c r="F432" t="inlineStr">
        <is>
          <t xml:space="preserve">VIRGINIA POLYTECHNIC INST AND ST UNIV</t>
        </is>
      </c>
      <c r="G432" t="inlineStr">
        <is>
          <t xml:space="preserve">BLACKSBURG</t>
        </is>
      </c>
      <c r="H432" t="inlineStr">
        <is>
          <t xml:space="preserve">VA</t>
        </is>
      </c>
      <c r="I432" t="inlineStr">
        <is>
          <t xml:space="preserve">NICHD</t>
        </is>
      </c>
      <c r="J432" t="inlineStr">
        <is>
          <t xml:space="preserve">Eunice Kennedy Shriver National Institute of Child Health and Human Development</t>
        </is>
      </c>
      <c r="K432" t="inlineStr">
        <is>
          <t xml:space="preserve">2026</t>
        </is>
      </c>
      <c r="L432" t="inlineStr">
        <is>
          <t xml:space="preserve">667837</t>
        </is>
      </c>
      <c r="M432" t="inlineStr">
        <is>
          <t xml:space="preserve">2003-04-01</t>
        </is>
      </c>
      <c r="N432" t="inlineStr">
        <is>
          <t xml:space="preserve">2027-06-30</t>
        </is>
      </c>
      <c r="O432" t="inlineStr">
        <is>
          <t xml:space="preserve">Small molecule</t>
        </is>
      </c>
      <c r="P432" s="3" t="str">
        <f>HYPERLINK("https://reporter.nih.gov/project-details/11387705","https://reporter.nih.gov/project-details/11387705")</f>
        <v>https://reporter.nih.gov/project-details/11387705</v>
      </c>
    </row>
    <row r="433">
      <c r="A433" t="inlineStr">
        <is>
          <t xml:space="preserve">2026-07-30</t>
        </is>
      </c>
      <c r="B433" t="inlineStr">
        <is>
          <t xml:space="preserve">7R01DC020186-05</t>
        </is>
      </c>
      <c r="C433" t="inlineStr">
        <is>
          <t xml:space="preserve">Sensory Project in Infant/Toddler Siblings of Children with Autism (Project SPIS)</t>
        </is>
      </c>
      <c r="D433" t="inlineStr">
        <is>
          <t xml:space="preserve">Tiffany Woynaroski</t>
        </is>
      </c>
      <c r="E433" t="inlineStr">
        <is>
          <t xml:space="preserve">Tiffany Woynaroski</t>
        </is>
      </c>
      <c r="F433" t="inlineStr">
        <is>
          <t xml:space="preserve">UNIVERSITY OF HAWAII AT MANOA</t>
        </is>
      </c>
      <c r="G433" t="inlineStr">
        <is>
          <t xml:space="preserve">HONOLULU</t>
        </is>
      </c>
      <c r="H433" t="inlineStr">
        <is>
          <t xml:space="preserve">HI</t>
        </is>
      </c>
      <c r="I433" t="inlineStr">
        <is>
          <t xml:space="preserve">NIDCD</t>
        </is>
      </c>
      <c r="J433" t="inlineStr">
        <is>
          <t xml:space="preserve">National Institute on Deafness and Other Communication Disorders</t>
        </is>
      </c>
      <c r="K433" t="inlineStr">
        <is>
          <t xml:space="preserve">2026</t>
        </is>
      </c>
      <c r="L433" t="inlineStr">
        <is>
          <t xml:space="preserve">542051</t>
        </is>
      </c>
      <c r="M433" t="inlineStr">
        <is>
          <t xml:space="preserve">2022-09-16</t>
        </is>
      </c>
      <c r="N433" t="inlineStr">
        <is>
          <t xml:space="preserve">2027-06-30</t>
        </is>
      </c>
      <c r="O433" t="inlineStr">
        <is>
          <t xml:space="preserve">Small molecule</t>
        </is>
      </c>
      <c r="P433" s="3" t="str">
        <f>HYPERLINK("https://reporter.nih.gov/project-details/11594304","https://reporter.nih.gov/project-details/11594304")</f>
        <v>https://reporter.nih.gov/project-details/11594304</v>
      </c>
    </row>
    <row r="434">
      <c r="A434" t="inlineStr">
        <is>
          <t xml:space="preserve">2026-07-30</t>
        </is>
      </c>
      <c r="B434" t="inlineStr">
        <is>
          <t xml:space="preserve">5R37NS095733-11</t>
        </is>
      </c>
      <c r="C434" t="inlineStr">
        <is>
          <t xml:space="preserve">Pathological Mechanisms of Human Cerebellar Malformations</t>
        </is>
      </c>
      <c r="D434" t="inlineStr">
        <is>
          <t xml:space="preserve">Kathleen Joyce Millen</t>
        </is>
      </c>
      <c r="E434" t="inlineStr">
        <is>
          <t xml:space="preserve">Kathleen Joyce Millen</t>
        </is>
      </c>
      <c r="F434" t="inlineStr">
        <is>
          <t xml:space="preserve">SEATTLE CHILDREN'S HOSPITAL</t>
        </is>
      </c>
      <c r="G434" t="inlineStr">
        <is>
          <t xml:space="preserve">SEATTLE</t>
        </is>
      </c>
      <c r="H434" t="inlineStr">
        <is>
          <t xml:space="preserve">WA</t>
        </is>
      </c>
      <c r="I434" t="inlineStr">
        <is>
          <t xml:space="preserve">NINDS</t>
        </is>
      </c>
      <c r="J434" t="inlineStr">
        <is>
          <t xml:space="preserve">National Institute of Neurological Disorders and Stroke</t>
        </is>
      </c>
      <c r="K434" t="inlineStr">
        <is>
          <t xml:space="preserve">2026</t>
        </is>
      </c>
      <c r="L434" t="inlineStr">
        <is>
          <t xml:space="preserve">967274</t>
        </is>
      </c>
      <c r="M434" t="inlineStr">
        <is>
          <t xml:space="preserve">2016-09-01</t>
        </is>
      </c>
      <c r="N434" t="inlineStr">
        <is>
          <t xml:space="preserve">2028-06-30</t>
        </is>
      </c>
      <c r="O434" t="inlineStr">
        <is>
          <t xml:space="preserve"/>
        </is>
      </c>
      <c r="P434" s="3" t="str">
        <f>HYPERLINK("https://reporter.nih.gov/project-details/11386356","https://reporter.nih.gov/project-details/11386356")</f>
        <v>https://reporter.nih.gov/project-details/11386356</v>
      </c>
    </row>
    <row r="435">
      <c r="A435" t="inlineStr">
        <is>
          <t xml:space="preserve">2026-07-30</t>
        </is>
      </c>
      <c r="B435" t="inlineStr">
        <is>
          <t xml:space="preserve">5R35GM138023-07</t>
        </is>
      </c>
      <c r="C435" t="inlineStr">
        <is>
          <t xml:space="preserve">The effects of synaptically released zinc on neuronal processing and brain function</t>
        </is>
      </c>
      <c r="D435" t="inlineStr">
        <is>
          <t xml:space="preserve">CHARLES ANDERSON</t>
        </is>
      </c>
      <c r="E435" t="inlineStr">
        <is>
          <t xml:space="preserve">CHARLES ANDERSON</t>
        </is>
      </c>
      <c r="F435" t="inlineStr">
        <is>
          <t xml:space="preserve">WEST VIRGINIA UNIVERSITY</t>
        </is>
      </c>
      <c r="G435" t="inlineStr">
        <is>
          <t xml:space="preserve">MORGANTOWN</t>
        </is>
      </c>
      <c r="H435" t="inlineStr">
        <is>
          <t xml:space="preserve">WV</t>
        </is>
      </c>
      <c r="I435" t="inlineStr">
        <is>
          <t xml:space="preserve">NIGMS</t>
        </is>
      </c>
      <c r="J435" t="inlineStr">
        <is>
          <t xml:space="preserve">National Institute of General Medical Sciences</t>
        </is>
      </c>
      <c r="K435" t="inlineStr">
        <is>
          <t xml:space="preserve">2026</t>
        </is>
      </c>
      <c r="L435" t="inlineStr">
        <is>
          <t xml:space="preserve">618864</t>
        </is>
      </c>
      <c r="M435" t="inlineStr">
        <is>
          <t xml:space="preserve">2020-08-01</t>
        </is>
      </c>
      <c r="N435" t="inlineStr">
        <is>
          <t xml:space="preserve">2030-07-31</t>
        </is>
      </c>
      <c r="O435" t="inlineStr">
        <is>
          <t xml:space="preserve">Device / stimulation</t>
        </is>
      </c>
      <c r="P435" s="3" t="str">
        <f>HYPERLINK("https://reporter.nih.gov/project-details/11393653","https://reporter.nih.gov/project-details/11393653")</f>
        <v>https://reporter.nih.gov/project-details/11393653</v>
      </c>
    </row>
    <row r="436">
      <c r="A436" t="inlineStr">
        <is>
          <t xml:space="preserve">2026-07-30</t>
        </is>
      </c>
      <c r="B436" t="inlineStr">
        <is>
          <t xml:space="preserve">3R01NS123163-05S1</t>
        </is>
      </c>
      <c r="C436" t="inlineStr">
        <is>
          <t xml:space="preserve">Identifying pathogenic mechanisms underlying PACS1 Syndrome: implications for neural development</t>
        </is>
      </c>
      <c r="D436" t="inlineStr">
        <is>
          <t xml:space="preserve">ALICIA DIONE GUEMEZ GAMBOA</t>
        </is>
      </c>
      <c r="E436" t="inlineStr">
        <is>
          <t xml:space="preserve">ALICIA DIONE GUEMEZ GAMBOA</t>
        </is>
      </c>
      <c r="F436" t="inlineStr">
        <is>
          <t xml:space="preserve">NORTHWESTERN UNIVERSITY</t>
        </is>
      </c>
      <c r="G436" t="inlineStr">
        <is>
          <t xml:space="preserve">CHICAGO</t>
        </is>
      </c>
      <c r="H436" t="inlineStr">
        <is>
          <t xml:space="preserve">IL</t>
        </is>
      </c>
      <c r="I436" t="inlineStr">
        <is>
          <t xml:space="preserve">NINDS</t>
        </is>
      </c>
      <c r="J436" t="inlineStr">
        <is>
          <t xml:space="preserve">National Institute of Neurological Disorders and Stroke</t>
        </is>
      </c>
      <c r="K436" t="inlineStr">
        <is>
          <t xml:space="preserve">2026</t>
        </is>
      </c>
      <c r="L436" t="inlineStr">
        <is>
          <t xml:space="preserve">91014</t>
        </is>
      </c>
      <c r="M436" t="inlineStr">
        <is>
          <t xml:space="preserve">2022-08-05</t>
        </is>
      </c>
      <c r="N436" t="inlineStr">
        <is>
          <t xml:space="preserve">2027-07-31</t>
        </is>
      </c>
      <c r="O436" t="inlineStr">
        <is>
          <t xml:space="preserve">Viral vector, Peptide, Small molecule</t>
        </is>
      </c>
      <c r="P436" s="3" t="str">
        <f>HYPERLINK("https://reporter.nih.gov/project-details/11562670","https://reporter.nih.gov/project-details/11562670")</f>
        <v>https://reporter.nih.gov/project-details/11562670</v>
      </c>
    </row>
  </sheetData>
  <autoFilter ref="A2:P436"/>
</worksheet>
</file>

<file path=xl/worksheets/sheet4.xml><?xml version="1.0" encoding="utf-8"?>
<worksheet xmlns="http://schemas.openxmlformats.org/spreadsheetml/2006/main">
  <dimension ref="A1:S77"/>
  <sheetViews>
    <sheetView workbookViewId="0">
      <pane ySplit="2" topLeftCell="A3" activePane="bottomLeft" state="frozen"/>
    </sheetView>
  </sheetViews>
  <cols>
    <col min="1" max="1" width="12"/>
    <col min="2" max="2" width="11"/>
    <col min="3" max="3" width="13"/>
    <col min="4" max="4" width="70"/>
    <col min="5" max="5" width="25"/>
    <col min="6" max="6" width="16"/>
    <col min="7" max="7" width="16"/>
    <col min="8" max="8" width="27"/>
    <col min="9" max="9" width="70"/>
    <col min="10" max="10" width="70"/>
    <col min="11" max="11" width="15"/>
    <col min="12" max="12" width="12"/>
    <col min="13" max="13" width="12"/>
    <col min="14" max="14" width="12"/>
    <col min="15" max="15" width="16"/>
    <col min="16" max="16" width="9"/>
    <col min="17" max="17" width="70"/>
    <col min="18" max="18" width="22"/>
    <col min="19" max="19" width="46"/>
  </cols>
  <sheetData>
    <row r="1">
      <c r="A1" s="2" t="inlineStr">
        <is>
          <t xml:space="preserve">Clinical trials — last 30 days (2026-09-28 to 2026-10-28) · counts when: ClinicalTrials.gov last-update date</t>
        </is>
      </c>
    </row>
    <row r="2">
      <c r="A2" s="1" t="inlineStr">
        <is>
          <t xml:space="preserve">Updated</t>
        </is>
      </c>
      <c r="B2" s="1" t="inlineStr">
        <is>
          <t xml:space="preserve">Change</t>
        </is>
      </c>
      <c r="C2" s="1" t="inlineStr">
        <is>
          <t xml:space="preserve">NCT number</t>
        </is>
      </c>
      <c r="D2" s="1" t="inlineStr">
        <is>
          <t xml:space="preserve">Title</t>
        </is>
      </c>
      <c r="E2" s="1" t="inlineStr">
        <is>
          <t xml:space="preserve">Status</t>
        </is>
      </c>
      <c r="F2" s="1" t="inlineStr">
        <is>
          <t xml:space="preserve">Phase</t>
        </is>
      </c>
      <c r="G2" s="1" t="inlineStr">
        <is>
          <t xml:space="preserve">Type</t>
        </is>
      </c>
      <c r="H2" s="1" t="inlineStr">
        <is>
          <t xml:space="preserve">Intervention types</t>
        </is>
      </c>
      <c r="I2" s="1" t="inlineStr">
        <is>
          <t xml:space="preserve">Interventions</t>
        </is>
      </c>
      <c r="J2" s="1" t="inlineStr">
        <is>
          <t xml:space="preserve">Sponsor</t>
        </is>
      </c>
      <c r="K2" s="1" t="inlineStr">
        <is>
          <t xml:space="preserve">Sponsor class</t>
        </is>
      </c>
      <c r="L2" s="1" t="inlineStr">
        <is>
          <t xml:space="preserve">Enrollment</t>
        </is>
      </c>
      <c r="M2" s="1" t="inlineStr">
        <is>
          <t xml:space="preserve">Start</t>
        </is>
      </c>
      <c r="N2" s="1" t="inlineStr">
        <is>
          <t xml:space="preserve">Completion</t>
        </is>
      </c>
      <c r="O2" s="1" t="inlineStr">
        <is>
          <t xml:space="preserve">Results posted</t>
        </is>
      </c>
      <c r="P2" s="1" t="inlineStr">
        <is>
          <t xml:space="preserve">Sites</t>
        </is>
      </c>
      <c r="Q2" s="1" t="inlineStr">
        <is>
          <t xml:space="preserve">States</t>
        </is>
      </c>
      <c r="R2" s="1" t="inlineStr">
        <is>
          <t xml:space="preserve">Modalities</t>
        </is>
      </c>
      <c r="S2" s="1" t="inlineStr">
        <is>
          <t xml:space="preserve">URL</t>
        </is>
      </c>
    </row>
    <row r="3">
      <c r="A3" t="inlineStr">
        <is>
          <t xml:space="preserve">2026-10-23</t>
        </is>
      </c>
      <c r="B3" t="inlineStr">
        <is>
          <t xml:space="preserve">updated</t>
        </is>
      </c>
      <c r="C3" t="inlineStr">
        <is>
          <t xml:space="preserve">NCT04096430</t>
        </is>
      </c>
      <c r="D3" t="inlineStr">
        <is>
          <t xml:space="preserve">Evaluation of Effectiveness of Child-oriented Goal-setting in Paediatric Rehabilitation (the ENGAGE Approach)</t>
        </is>
      </c>
      <c r="E3" t="inlineStr">
        <is>
          <t xml:space="preserve">completed</t>
        </is>
      </c>
      <c r="F3" t="inlineStr">
        <is>
          <t xml:space="preserve"/>
        </is>
      </c>
      <c r="G3" t="inlineStr">
        <is>
          <t xml:space="preserve">Interventional</t>
        </is>
      </c>
      <c r="H3" t="inlineStr">
        <is>
          <t xml:space="preserve">Behavioral</t>
        </is>
      </c>
      <c r="I3" t="inlineStr">
        <is>
          <t xml:space="preserve">ENGAGE approach (child-oriented goal-setting)</t>
        </is>
      </c>
      <c r="J3" t="inlineStr">
        <is>
          <t xml:space="preserve">University of Alberta</t>
        </is>
      </c>
      <c r="K3" t="inlineStr">
        <is>
          <t xml:space="preserve">other</t>
        </is>
      </c>
      <c r="L3" t="inlineStr">
        <is>
          <t xml:space="preserve">92</t>
        </is>
      </c>
      <c r="M3" t="inlineStr">
        <is>
          <t xml:space="preserve">2022-03-01</t>
        </is>
      </c>
      <c r="N3" t="inlineStr">
        <is>
          <t xml:space="preserve">2026-08-31</t>
        </is>
      </c>
      <c r="O3" t="inlineStr">
        <is>
          <t xml:space="preserve"/>
        </is>
      </c>
      <c r="P3" t="inlineStr">
        <is>
          <t xml:space="preserve">6</t>
        </is>
      </c>
      <c r="Q3" t="inlineStr">
        <is>
          <t xml:space="preserve"/>
        </is>
      </c>
      <c r="R3" t="inlineStr">
        <is>
          <t xml:space="preserve"/>
        </is>
      </c>
      <c r="S3" s="3" t="str">
        <f>HYPERLINK("https://clinicaltrials.gov/study/NCT04096430","https://clinicaltrials.gov/study/NCT04096430")</f>
        <v>https://clinicaltrials.gov/study/NCT04096430</v>
      </c>
    </row>
    <row r="4">
      <c r="A4" t="inlineStr">
        <is>
          <t xml:space="preserve">2026-10-23</t>
        </is>
      </c>
      <c r="B4" t="inlineStr">
        <is>
          <t xml:space="preserve">updated</t>
        </is>
      </c>
      <c r="C4" t="inlineStr">
        <is>
          <t xml:space="preserve">NCT06670040</t>
        </is>
      </c>
      <c r="D4" t="inlineStr">
        <is>
          <t xml:space="preserve">Theta Burst Stimulation for Refractory Depression in Autism Spectrum Disorder</t>
        </is>
      </c>
      <c r="E4" t="inlineStr">
        <is>
          <t xml:space="preserve">completed</t>
        </is>
      </c>
      <c r="F4" t="inlineStr">
        <is>
          <t xml:space="preserve"/>
        </is>
      </c>
      <c r="G4" t="inlineStr">
        <is>
          <t xml:space="preserve">Interventional</t>
        </is>
      </c>
      <c r="H4" t="inlineStr">
        <is>
          <t xml:space="preserve">Procedure</t>
        </is>
      </c>
      <c r="I4" t="inlineStr">
        <is>
          <t xml:space="preserve">Transcranial Magnetic Stimulation; Transcranial Magnetic Stimulation Sham</t>
        </is>
      </c>
      <c r="J4" t="inlineStr">
        <is>
          <t xml:space="preserve">Children's Hospital Medical Center, Cincinnati</t>
        </is>
      </c>
      <c r="K4" t="inlineStr">
        <is>
          <t xml:space="preserve">other</t>
        </is>
      </c>
      <c r="L4" t="inlineStr">
        <is>
          <t xml:space="preserve">20</t>
        </is>
      </c>
      <c r="M4" t="inlineStr">
        <is>
          <t xml:space="preserve">2024-09-16</t>
        </is>
      </c>
      <c r="N4" t="inlineStr">
        <is>
          <t xml:space="preserve">2026-05-30</t>
        </is>
      </c>
      <c r="O4" t="inlineStr">
        <is>
          <t xml:space="preserve"/>
        </is>
      </c>
      <c r="P4" t="inlineStr">
        <is>
          <t xml:space="preserve">1</t>
        </is>
      </c>
      <c r="Q4" t="inlineStr">
        <is>
          <t xml:space="preserve">OH</t>
        </is>
      </c>
      <c r="R4" t="inlineStr">
        <is>
          <t xml:space="preserve">Device / stimulation</t>
        </is>
      </c>
      <c r="S4" s="3" t="str">
        <f>HYPERLINK("https://clinicaltrials.gov/study/NCT06670040","https://clinicaltrials.gov/study/NCT06670040")</f>
        <v>https://clinicaltrials.gov/study/NCT06670040</v>
      </c>
    </row>
    <row r="5">
      <c r="A5" t="inlineStr">
        <is>
          <t xml:space="preserve">2026-10-23</t>
        </is>
      </c>
      <c r="B5" t="inlineStr">
        <is>
          <t xml:space="preserve">updated</t>
        </is>
      </c>
      <c r="C5" t="inlineStr">
        <is>
          <t xml:space="preserve">NCT07891065</t>
        </is>
      </c>
      <c r="D5" t="inlineStr">
        <is>
          <t xml:space="preserve">EEG As a Genetic Selection Lever in Autism Spectrum Disorder</t>
        </is>
      </c>
      <c r="E5" t="inlineStr">
        <is>
          <t xml:space="preserve">not yet recruiting</t>
        </is>
      </c>
      <c r="F5" t="inlineStr">
        <is>
          <t xml:space="preserve"/>
        </is>
      </c>
      <c r="G5" t="inlineStr">
        <is>
          <t xml:space="preserve">Observational</t>
        </is>
      </c>
      <c r="H5" t="inlineStr">
        <is>
          <t xml:space="preserve">Other</t>
        </is>
      </c>
      <c r="I5" t="inlineStr">
        <is>
          <t xml:space="preserve">Collection of routine care data</t>
        </is>
      </c>
      <c r="J5" t="inlineStr">
        <is>
          <t xml:space="preserve">Centre Hospitalier Régional Metz-Thionville</t>
        </is>
      </c>
      <c r="K5" t="inlineStr">
        <is>
          <t xml:space="preserve">other</t>
        </is>
      </c>
      <c r="L5" t="inlineStr">
        <is>
          <t xml:space="preserve">80</t>
        </is>
      </c>
      <c r="M5" t="inlineStr">
        <is>
          <t xml:space="preserve">2026-09</t>
        </is>
      </c>
      <c r="N5" t="inlineStr">
        <is>
          <t xml:space="preserve">2027-02</t>
        </is>
      </c>
      <c r="O5" t="inlineStr">
        <is>
          <t xml:space="preserve"/>
        </is>
      </c>
      <c r="P5" t="inlineStr">
        <is>
          <t xml:space="preserve">2</t>
        </is>
      </c>
      <c r="Q5" t="inlineStr">
        <is>
          <t xml:space="preserve"/>
        </is>
      </c>
      <c r="R5" t="inlineStr">
        <is>
          <t xml:space="preserve"/>
        </is>
      </c>
      <c r="S5" s="3" t="str">
        <f>HYPERLINK("https://clinicaltrials.gov/study/NCT07891065","https://clinicaltrials.gov/study/NCT07891065")</f>
        <v>https://clinicaltrials.gov/study/NCT07891065</v>
      </c>
    </row>
    <row r="6">
      <c r="A6" t="inlineStr">
        <is>
          <t xml:space="preserve">2026-10-22</t>
        </is>
      </c>
      <c r="B6" t="inlineStr">
        <is>
          <t xml:space="preserve">updated</t>
        </is>
      </c>
      <c r="C6" t="inlineStr">
        <is>
          <t xml:space="preserve">NCT07276750</t>
        </is>
      </c>
      <c r="D6" t="inlineStr">
        <is>
          <t xml:space="preserve">Coaching and Leadership in Autism Support Settings</t>
        </is>
      </c>
      <c r="E6" t="inlineStr">
        <is>
          <t xml:space="preserve">recruiting</t>
        </is>
      </c>
      <c r="F6" t="inlineStr">
        <is>
          <t xml:space="preserve"/>
        </is>
      </c>
      <c r="G6" t="inlineStr">
        <is>
          <t xml:space="preserve">Interventional</t>
        </is>
      </c>
      <c r="H6" t="inlineStr">
        <is>
          <t xml:space="preserve">Other</t>
        </is>
      </c>
      <c r="I6" t="inlineStr">
        <is>
          <t xml:space="preserve">RUBIES; HELM; Educator Psychoeducation</t>
        </is>
      </c>
      <c r="J6" t="inlineStr">
        <is>
          <t xml:space="preserve">University of California, Los Angeles</t>
        </is>
      </c>
      <c r="K6" t="inlineStr">
        <is>
          <t xml:space="preserve">other</t>
        </is>
      </c>
      <c r="L6" t="inlineStr">
        <is>
          <t xml:space="preserve">373</t>
        </is>
      </c>
      <c r="M6" t="inlineStr">
        <is>
          <t xml:space="preserve">2026-02-01</t>
        </is>
      </c>
      <c r="N6" t="inlineStr">
        <is>
          <t xml:space="preserve">2030-06-30</t>
        </is>
      </c>
      <c r="O6" t="inlineStr">
        <is>
          <t xml:space="preserve"/>
        </is>
      </c>
      <c r="P6" t="inlineStr">
        <is>
          <t xml:space="preserve">1</t>
        </is>
      </c>
      <c r="Q6" t="inlineStr">
        <is>
          <t xml:space="preserve">CA</t>
        </is>
      </c>
      <c r="R6" t="inlineStr">
        <is>
          <t xml:space="preserve"/>
        </is>
      </c>
      <c r="S6" s="3" t="str">
        <f>HYPERLINK("https://clinicaltrials.gov/study/NCT07276750","https://clinicaltrials.gov/study/NCT07276750")</f>
        <v>https://clinicaltrials.gov/study/NCT07276750</v>
      </c>
    </row>
    <row r="7">
      <c r="A7" t="inlineStr">
        <is>
          <t xml:space="preserve">2026-10-22</t>
        </is>
      </c>
      <c r="B7" t="inlineStr">
        <is>
          <t xml:space="preserve">updated</t>
        </is>
      </c>
      <c r="C7" t="inlineStr">
        <is>
          <t xml:space="preserve">NCT05803369</t>
        </is>
      </c>
      <c r="D7" t="inlineStr">
        <is>
          <t xml:space="preserve">DOD Regulating Together Intervention</t>
        </is>
      </c>
      <c r="E7" t="inlineStr">
        <is>
          <t xml:space="preserve">completed</t>
        </is>
      </c>
      <c r="F7" t="inlineStr">
        <is>
          <t xml:space="preserve"/>
        </is>
      </c>
      <c r="G7" t="inlineStr">
        <is>
          <t xml:space="preserve">Interventional</t>
        </is>
      </c>
      <c r="H7" t="inlineStr">
        <is>
          <t xml:space="preserve">Behavioral</t>
        </is>
      </c>
      <c r="I7" t="inlineStr">
        <is>
          <t xml:space="preserve">Regulating Together (RT); Achieving Independence and Mastery in School (AIMS)</t>
        </is>
      </c>
      <c r="J7" t="inlineStr">
        <is>
          <t xml:space="preserve">Children's Hospital Medical Center, Cincinnati</t>
        </is>
      </c>
      <c r="K7" t="inlineStr">
        <is>
          <t xml:space="preserve">other</t>
        </is>
      </c>
      <c r="L7" t="inlineStr">
        <is>
          <t xml:space="preserve">125</t>
        </is>
      </c>
      <c r="M7" t="inlineStr">
        <is>
          <t xml:space="preserve">2022-08-01</t>
        </is>
      </c>
      <c r="N7" t="inlineStr">
        <is>
          <t xml:space="preserve">2026-06-02</t>
        </is>
      </c>
      <c r="O7" t="inlineStr">
        <is>
          <t xml:space="preserve"/>
        </is>
      </c>
      <c r="P7" t="inlineStr">
        <is>
          <t xml:space="preserve">1</t>
        </is>
      </c>
      <c r="Q7" t="inlineStr">
        <is>
          <t xml:space="preserve">OH</t>
        </is>
      </c>
      <c r="R7" t="inlineStr">
        <is>
          <t xml:space="preserve"/>
        </is>
      </c>
      <c r="S7" s="3" t="str">
        <f>HYPERLINK("https://clinicaltrials.gov/study/NCT05803369","https://clinicaltrials.gov/study/NCT05803369")</f>
        <v>https://clinicaltrials.gov/study/NCT05803369</v>
      </c>
    </row>
    <row r="8">
      <c r="A8" t="inlineStr">
        <is>
          <t xml:space="preserve">2026-10-22</t>
        </is>
      </c>
      <c r="B8" t="inlineStr">
        <is>
          <t xml:space="preserve">updated</t>
        </is>
      </c>
      <c r="C8" t="inlineStr">
        <is>
          <t xml:space="preserve">NCT06808555</t>
        </is>
      </c>
      <c r="D8" t="inlineStr">
        <is>
          <t xml:space="preserve">Pai.ACT: AI-Driven ACT Chatbot for Mental Health Triage and Service Evaluation</t>
        </is>
      </c>
      <c r="E8" t="inlineStr">
        <is>
          <t xml:space="preserve">active not recruiting</t>
        </is>
      </c>
      <c r="F8" t="inlineStr">
        <is>
          <t xml:space="preserve"/>
        </is>
      </c>
      <c r="G8" t="inlineStr">
        <is>
          <t xml:space="preserve">Interventional</t>
        </is>
      </c>
      <c r="H8" t="inlineStr">
        <is>
          <t xml:space="preserve">Behavioral, Other</t>
        </is>
      </c>
      <c r="I8" t="inlineStr">
        <is>
          <t xml:space="preserve">Pai.ACT Group; Control Group</t>
        </is>
      </c>
      <c r="J8" t="inlineStr">
        <is>
          <t xml:space="preserve">Chinese University of Hong Kong</t>
        </is>
      </c>
      <c r="K8" t="inlineStr">
        <is>
          <t xml:space="preserve">other</t>
        </is>
      </c>
      <c r="L8" t="inlineStr">
        <is>
          <t xml:space="preserve">340</t>
        </is>
      </c>
      <c r="M8" t="inlineStr">
        <is>
          <t xml:space="preserve">2025-03-17</t>
        </is>
      </c>
      <c r="N8" t="inlineStr">
        <is>
          <t xml:space="preserve">2027-01-31</t>
        </is>
      </c>
      <c r="O8" t="inlineStr">
        <is>
          <t xml:space="preserve"/>
        </is>
      </c>
      <c r="P8" t="inlineStr">
        <is>
          <t xml:space="preserve">20</t>
        </is>
      </c>
      <c r="Q8" t="inlineStr">
        <is>
          <t xml:space="preserve"/>
        </is>
      </c>
      <c r="R8" t="inlineStr">
        <is>
          <t xml:space="preserve"/>
        </is>
      </c>
      <c r="S8" s="3" t="str">
        <f>HYPERLINK("https://clinicaltrials.gov/study/NCT06808555","https://clinicaltrials.gov/study/NCT06808555")</f>
        <v>https://clinicaltrials.gov/study/NCT06808555</v>
      </c>
    </row>
    <row r="9">
      <c r="A9" t="inlineStr">
        <is>
          <t xml:space="preserve">2026-10-22</t>
        </is>
      </c>
      <c r="B9" t="inlineStr">
        <is>
          <t xml:space="preserve">updated</t>
        </is>
      </c>
      <c r="C9" t="inlineStr">
        <is>
          <t xml:space="preserve">NCT05916339</t>
        </is>
      </c>
      <c r="D9" t="inlineStr">
        <is>
          <t xml:space="preserve">AWARE: Management of ADHD in Autism Spectrum Disorder</t>
        </is>
      </c>
      <c r="E9" t="inlineStr">
        <is>
          <t xml:space="preserve">recruiting</t>
        </is>
      </c>
      <c r="F9" t="inlineStr">
        <is>
          <t xml:space="preserve">PHASE4</t>
        </is>
      </c>
      <c r="G9" t="inlineStr">
        <is>
          <t xml:space="preserve">Interventional</t>
        </is>
      </c>
      <c r="H9" t="inlineStr">
        <is>
          <t xml:space="preserve">Drug</t>
        </is>
      </c>
      <c r="I9" t="inlineStr">
        <is>
          <t xml:space="preserve">Randomization to either Amphetamine (AMP) class of stimulant medication or Methylphenidate (MPH) class of stimulant medication; Randomization to either Alpha 2 agonist class of medication or alternate class of stimulant.</t>
        </is>
      </c>
      <c r="J9" t="inlineStr">
        <is>
          <t xml:space="preserve">Daniel Coury</t>
        </is>
      </c>
      <c r="K9" t="inlineStr">
        <is>
          <t xml:space="preserve">other</t>
        </is>
      </c>
      <c r="L9" t="inlineStr">
        <is>
          <t xml:space="preserve">500</t>
        </is>
      </c>
      <c r="M9" t="inlineStr">
        <is>
          <t xml:space="preserve">2023-10-01</t>
        </is>
      </c>
      <c r="N9" t="inlineStr">
        <is>
          <t xml:space="preserve">2027-01-01</t>
        </is>
      </c>
      <c r="O9" t="inlineStr">
        <is>
          <t xml:space="preserve"/>
        </is>
      </c>
      <c r="P9" t="inlineStr">
        <is>
          <t xml:space="preserve">13</t>
        </is>
      </c>
      <c r="Q9" t="inlineStr">
        <is>
          <t xml:space="preserve">CA, ME, MA, NY, OH, PA, SC, VA</t>
        </is>
      </c>
      <c r="R9" t="inlineStr">
        <is>
          <t xml:space="preserve">Small molecule</t>
        </is>
      </c>
      <c r="S9" s="3" t="str">
        <f>HYPERLINK("https://clinicaltrials.gov/study/NCT05916339","https://clinicaltrials.gov/study/NCT05916339")</f>
        <v>https://clinicaltrials.gov/study/NCT05916339</v>
      </c>
    </row>
    <row r="10">
      <c r="A10" t="inlineStr">
        <is>
          <t xml:space="preserve">2026-10-21</t>
        </is>
      </c>
      <c r="B10" t="inlineStr">
        <is>
          <t xml:space="preserve">new study</t>
        </is>
      </c>
      <c r="C10" t="inlineStr">
        <is>
          <t xml:space="preserve">NCT07887243</t>
        </is>
      </c>
      <c r="D10" t="inlineStr">
        <is>
          <t xml:space="preserve">Adapting the Sensory Environment to Reduce Stress in Children With Autism During Dental Visits</t>
        </is>
      </c>
      <c r="E10" t="inlineStr">
        <is>
          <t xml:space="preserve">active not recruiting</t>
        </is>
      </c>
      <c r="F10" t="inlineStr">
        <is>
          <t xml:space="preserve"/>
        </is>
      </c>
      <c r="G10" t="inlineStr">
        <is>
          <t xml:space="preserve">Interventional</t>
        </is>
      </c>
      <c r="H10" t="inlineStr">
        <is>
          <t xml:space="preserve">Behavioral</t>
        </is>
      </c>
      <c r="I10" t="inlineStr">
        <is>
          <t xml:space="preserve">Sensory-Adapted Dental Environment</t>
        </is>
      </c>
      <c r="J10" t="inlineStr">
        <is>
          <t xml:space="preserve">Jagiellonian University</t>
        </is>
      </c>
      <c r="K10" t="inlineStr">
        <is>
          <t xml:space="preserve">other</t>
        </is>
      </c>
      <c r="L10" t="inlineStr">
        <is>
          <t xml:space="preserve">40</t>
        </is>
      </c>
      <c r="M10" t="inlineStr">
        <is>
          <t xml:space="preserve">2026-10-01</t>
        </is>
      </c>
      <c r="N10" t="inlineStr">
        <is>
          <t xml:space="preserve">2026-11-13</t>
        </is>
      </c>
      <c r="O10" t="inlineStr">
        <is>
          <t xml:space="preserve"/>
        </is>
      </c>
      <c r="P10" t="inlineStr">
        <is>
          <t xml:space="preserve">1</t>
        </is>
      </c>
      <c r="Q10" t="inlineStr">
        <is>
          <t xml:space="preserve"/>
        </is>
      </c>
      <c r="R10" t="inlineStr">
        <is>
          <t xml:space="preserve"/>
        </is>
      </c>
      <c r="S10" s="3" t="str">
        <f>HYPERLINK("https://clinicaltrials.gov/study/NCT07887243","https://clinicaltrials.gov/study/NCT07887243")</f>
        <v>https://clinicaltrials.gov/study/NCT07887243</v>
      </c>
    </row>
    <row r="11">
      <c r="A11" t="inlineStr">
        <is>
          <t xml:space="preserve">2026-10-21</t>
        </is>
      </c>
      <c r="B11" t="inlineStr">
        <is>
          <t xml:space="preserve">updated</t>
        </is>
      </c>
      <c r="C11" t="inlineStr">
        <is>
          <t xml:space="preserve">NCT03842332</t>
        </is>
      </c>
      <c r="D11" t="inlineStr">
        <is>
          <t xml:space="preserve">Building Resilience and Appropriate Independence in Young Adults With Autism</t>
        </is>
      </c>
      <c r="E11" t="inlineStr">
        <is>
          <t xml:space="preserve">completed</t>
        </is>
      </c>
      <c r="F11" t="inlineStr">
        <is>
          <t xml:space="preserve"/>
        </is>
      </c>
      <c r="G11" t="inlineStr">
        <is>
          <t xml:space="preserve">Interventional</t>
        </is>
      </c>
      <c r="H11" t="inlineStr">
        <is>
          <t xml:space="preserve">Behavioral</t>
        </is>
      </c>
      <c r="I11" t="inlineStr">
        <is>
          <t xml:space="preserve">Life Skills and Resilience Program</t>
        </is>
      </c>
      <c r="J11" t="inlineStr">
        <is>
          <t xml:space="preserve">University of California, San Francisco</t>
        </is>
      </c>
      <c r="K11" t="inlineStr">
        <is>
          <t xml:space="preserve">other</t>
        </is>
      </c>
      <c r="L11" t="inlineStr">
        <is>
          <t xml:space="preserve">30</t>
        </is>
      </c>
      <c r="M11" t="inlineStr">
        <is>
          <t xml:space="preserve">2019-01-25</t>
        </is>
      </c>
      <c r="N11" t="inlineStr">
        <is>
          <t xml:space="preserve">2021-07-30</t>
        </is>
      </c>
      <c r="O11" t="inlineStr">
        <is>
          <t xml:space="preserve">yes</t>
        </is>
      </c>
      <c r="P11" t="inlineStr">
        <is>
          <t xml:space="preserve">1</t>
        </is>
      </c>
      <c r="Q11" t="inlineStr">
        <is>
          <t xml:space="preserve">CA</t>
        </is>
      </c>
      <c r="R11" t="inlineStr">
        <is>
          <t xml:space="preserve"/>
        </is>
      </c>
      <c r="S11" s="3" t="str">
        <f>HYPERLINK("https://clinicaltrials.gov/study/NCT03842332","https://clinicaltrials.gov/study/NCT03842332")</f>
        <v>https://clinicaltrials.gov/study/NCT03842332</v>
      </c>
    </row>
    <row r="12">
      <c r="A12" t="inlineStr">
        <is>
          <t xml:space="preserve">2026-10-20</t>
        </is>
      </c>
      <c r="B12" t="inlineStr">
        <is>
          <t xml:space="preserve">updated</t>
        </is>
      </c>
      <c r="C12" t="inlineStr">
        <is>
          <t xml:space="preserve">NCT05003960</t>
        </is>
      </c>
      <c r="D12" t="inlineStr">
        <is>
          <t xml:space="preserve">Safety of Cultured Allogeneic Adult Umbilical Cord or Placental Derived Mesenchymal Stem Cell Intravenous Infusion for Autism</t>
        </is>
      </c>
      <c r="E12" t="inlineStr">
        <is>
          <t xml:space="preserve">recruiting</t>
        </is>
      </c>
      <c r="F12" t="inlineStr">
        <is>
          <t xml:space="preserve">PHASE1</t>
        </is>
      </c>
      <c r="G12" t="inlineStr">
        <is>
          <t xml:space="preserve">Interventional</t>
        </is>
      </c>
      <c r="H12" t="inlineStr">
        <is>
          <t xml:space="preserve">Biological</t>
        </is>
      </c>
      <c r="I12" t="inlineStr">
        <is>
          <t xml:space="preserve">cultured allogeneic adult umbilical cord or placental derived mesenchymal stem cells</t>
        </is>
      </c>
      <c r="J12" t="inlineStr">
        <is>
          <t xml:space="preserve">The Foundation for Orthopaedics and Regenerative Medicine</t>
        </is>
      </c>
      <c r="K12" t="inlineStr">
        <is>
          <t xml:space="preserve">other</t>
        </is>
      </c>
      <c r="L12" t="inlineStr">
        <is>
          <t xml:space="preserve">15</t>
        </is>
      </c>
      <c r="M12" t="inlineStr">
        <is>
          <t xml:space="preserve">2022-01-23</t>
        </is>
      </c>
      <c r="N12" t="inlineStr">
        <is>
          <t xml:space="preserve">2027-12-01</t>
        </is>
      </c>
      <c r="O12" t="inlineStr">
        <is>
          <t xml:space="preserve"/>
        </is>
      </c>
      <c r="P12" t="inlineStr">
        <is>
          <t xml:space="preserve">2</t>
        </is>
      </c>
      <c r="Q12" t="inlineStr">
        <is>
          <t xml:space="preserve">FL</t>
        </is>
      </c>
      <c r="R12" t="inlineStr">
        <is>
          <t xml:space="preserve"/>
        </is>
      </c>
      <c r="S12" s="3" t="str">
        <f>HYPERLINK("https://clinicaltrials.gov/study/NCT05003960","https://clinicaltrials.gov/study/NCT05003960")</f>
        <v>https://clinicaltrials.gov/study/NCT05003960</v>
      </c>
    </row>
    <row r="13">
      <c r="A13" t="inlineStr">
        <is>
          <t xml:space="preserve">2026-10-20</t>
        </is>
      </c>
      <c r="B13" t="inlineStr">
        <is>
          <t xml:space="preserve">updated</t>
        </is>
      </c>
      <c r="C13" t="inlineStr">
        <is>
          <t xml:space="preserve">NCT06705907</t>
        </is>
      </c>
      <c r="D13" t="inlineStr">
        <is>
          <t xml:space="preserve">Improving Academic and Social Functioning in Middle-Schoolers With Autism</t>
        </is>
      </c>
      <c r="E13" t="inlineStr">
        <is>
          <t xml:space="preserve">recruiting</t>
        </is>
      </c>
      <c r="F13" t="inlineStr">
        <is>
          <t xml:space="preserve"/>
        </is>
      </c>
      <c r="G13" t="inlineStr">
        <is>
          <t xml:space="preserve">Interventional</t>
        </is>
      </c>
      <c r="H13" t="inlineStr">
        <is>
          <t xml:space="preserve">Behavioral</t>
        </is>
      </c>
      <c r="I13" t="inlineStr">
        <is>
          <t xml:space="preserve">Achieving Independence and Mastery in School (AIMS); Building Essential Social Skills for Teens (BESST)</t>
        </is>
      </c>
      <c r="J13" t="inlineStr">
        <is>
          <t xml:space="preserve">Children's Hospital Medical Center, Cincinnati</t>
        </is>
      </c>
      <c r="K13" t="inlineStr">
        <is>
          <t xml:space="preserve">other</t>
        </is>
      </c>
      <c r="L13" t="inlineStr">
        <is>
          <t xml:space="preserve">224</t>
        </is>
      </c>
      <c r="M13" t="inlineStr">
        <is>
          <t xml:space="preserve">2024-12-01</t>
        </is>
      </c>
      <c r="N13" t="inlineStr">
        <is>
          <t xml:space="preserve">2029-05-31</t>
        </is>
      </c>
      <c r="O13" t="inlineStr">
        <is>
          <t xml:space="preserve"/>
        </is>
      </c>
      <c r="P13" t="inlineStr">
        <is>
          <t xml:space="preserve">1</t>
        </is>
      </c>
      <c r="Q13" t="inlineStr">
        <is>
          <t xml:space="preserve">OH</t>
        </is>
      </c>
      <c r="R13" t="inlineStr">
        <is>
          <t xml:space="preserve">Behavioral</t>
        </is>
      </c>
      <c r="S13" s="3" t="str">
        <f>HYPERLINK("https://clinicaltrials.gov/study/NCT06705907","https://clinicaltrials.gov/study/NCT06705907")</f>
        <v>https://clinicaltrials.gov/study/NCT06705907</v>
      </c>
    </row>
    <row r="14">
      <c r="A14" t="inlineStr">
        <is>
          <t xml:space="preserve">2026-10-20</t>
        </is>
      </c>
      <c r="B14" t="inlineStr">
        <is>
          <t xml:space="preserve">new study</t>
        </is>
      </c>
      <c r="C14" t="inlineStr">
        <is>
          <t xml:space="preserve">NCT07884032</t>
        </is>
      </c>
      <c r="D14" t="inlineStr">
        <is>
          <t xml:space="preserve">Expression Intensity Modulates Social Intention Understanding in ASD Children</t>
        </is>
      </c>
      <c r="E14" t="inlineStr">
        <is>
          <t xml:space="preserve">not yet recruiting</t>
        </is>
      </c>
      <c r="F14" t="inlineStr">
        <is>
          <t xml:space="preserve"/>
        </is>
      </c>
      <c r="G14" t="inlineStr">
        <is>
          <t xml:space="preserve">Observational</t>
        </is>
      </c>
      <c r="H14" t="inlineStr">
        <is>
          <t xml:space="preserve"/>
        </is>
      </c>
      <c r="I14" t="inlineStr">
        <is>
          <t xml:space="preserve"/>
        </is>
      </c>
      <c r="J14" t="inlineStr">
        <is>
          <t xml:space="preserve">University of Electronic Science and Technology of China</t>
        </is>
      </c>
      <c r="K14" t="inlineStr">
        <is>
          <t xml:space="preserve">other</t>
        </is>
      </c>
      <c r="L14" t="inlineStr">
        <is>
          <t xml:space="preserve">90</t>
        </is>
      </c>
      <c r="M14" t="inlineStr">
        <is>
          <t xml:space="preserve">2026-10-10</t>
        </is>
      </c>
      <c r="N14" t="inlineStr">
        <is>
          <t xml:space="preserve">2026-12-10</t>
        </is>
      </c>
      <c r="O14" t="inlineStr">
        <is>
          <t xml:space="preserve"/>
        </is>
      </c>
      <c r="P14" t="inlineStr">
        <is>
          <t xml:space="preserve"/>
        </is>
      </c>
      <c r="Q14" t="inlineStr">
        <is>
          <t xml:space="preserve"/>
        </is>
      </c>
      <c r="R14" t="inlineStr">
        <is>
          <t xml:space="preserve"/>
        </is>
      </c>
      <c r="S14" s="3" t="str">
        <f>HYPERLINK("https://clinicaltrials.gov/study/NCT07884032","https://clinicaltrials.gov/study/NCT07884032")</f>
        <v>https://clinicaltrials.gov/study/NCT07884032</v>
      </c>
    </row>
    <row r="15">
      <c r="A15" t="inlineStr">
        <is>
          <t xml:space="preserve">2026-10-20</t>
        </is>
      </c>
      <c r="B15" t="inlineStr">
        <is>
          <t xml:space="preserve">updated</t>
        </is>
      </c>
      <c r="C15" t="inlineStr">
        <is>
          <t xml:space="preserve">NCT07884097</t>
        </is>
      </c>
      <c r="D15" t="inlineStr">
        <is>
          <t xml:space="preserve">Individualized Parent-Based Nutrition Education in Preschool Children With Autism Spectrum Disorder</t>
        </is>
      </c>
      <c r="E15" t="inlineStr">
        <is>
          <t xml:space="preserve">completed</t>
        </is>
      </c>
      <c r="F15" t="inlineStr">
        <is>
          <t xml:space="preserve"/>
        </is>
      </c>
      <c r="G15" t="inlineStr">
        <is>
          <t xml:space="preserve">Interventional</t>
        </is>
      </c>
      <c r="H15" t="inlineStr">
        <is>
          <t xml:space="preserve">Behavioral</t>
        </is>
      </c>
      <c r="I15" t="inlineStr">
        <is>
          <t xml:space="preserve">Individualized Parent-Based Nutrition Education Programme</t>
        </is>
      </c>
      <c r="J15" t="inlineStr">
        <is>
          <t xml:space="preserve">Firat University</t>
        </is>
      </c>
      <c r="K15" t="inlineStr">
        <is>
          <t xml:space="preserve">other</t>
        </is>
      </c>
      <c r="L15" t="inlineStr">
        <is>
          <t xml:space="preserve">45</t>
        </is>
      </c>
      <c r="M15" t="inlineStr">
        <is>
          <t xml:space="preserve">2020-12-15</t>
        </is>
      </c>
      <c r="N15" t="inlineStr">
        <is>
          <t xml:space="preserve">2022-06-15</t>
        </is>
      </c>
      <c r="O15" t="inlineStr">
        <is>
          <t xml:space="preserve"/>
        </is>
      </c>
      <c r="P15" t="inlineStr">
        <is>
          <t xml:space="preserve">1</t>
        </is>
      </c>
      <c r="Q15" t="inlineStr">
        <is>
          <t xml:space="preserve"/>
        </is>
      </c>
      <c r="R15" t="inlineStr">
        <is>
          <t xml:space="preserve"/>
        </is>
      </c>
      <c r="S15" s="3" t="str">
        <f>HYPERLINK("https://clinicaltrials.gov/study/NCT07884097","https://clinicaltrials.gov/study/NCT07884097")</f>
        <v>https://clinicaltrials.gov/study/NCT07884097</v>
      </c>
    </row>
    <row r="16">
      <c r="A16" t="inlineStr">
        <is>
          <t xml:space="preserve">2026-10-20</t>
        </is>
      </c>
      <c r="B16" t="inlineStr">
        <is>
          <t xml:space="preserve">updated</t>
        </is>
      </c>
      <c r="C16" t="inlineStr">
        <is>
          <t xml:space="preserve">NCT07532395</t>
        </is>
      </c>
      <c r="D16" t="inlineStr">
        <is>
          <t xml:space="preserve">FMS-CrossFit Training Program (FCTP) to Improve School Readiness in Preschool Children With Autism Spectrum Disorder</t>
        </is>
      </c>
      <c r="E16" t="inlineStr">
        <is>
          <t xml:space="preserve">recruiting</t>
        </is>
      </c>
      <c r="F16" t="inlineStr">
        <is>
          <t xml:space="preserve"/>
        </is>
      </c>
      <c r="G16" t="inlineStr">
        <is>
          <t xml:space="preserve">Interventional</t>
        </is>
      </c>
      <c r="H16" t="inlineStr">
        <is>
          <t xml:space="preserve">Behavioral</t>
        </is>
      </c>
      <c r="I16" t="inlineStr">
        <is>
          <t xml:space="preserve">FCTP program; treatment as usual (TAU) (Control Group)</t>
        </is>
      </c>
      <c r="J16" t="inlineStr">
        <is>
          <t xml:space="preserve">Peking University</t>
        </is>
      </c>
      <c r="K16" t="inlineStr">
        <is>
          <t xml:space="preserve">other</t>
        </is>
      </c>
      <c r="L16" t="inlineStr">
        <is>
          <t xml:space="preserve">184</t>
        </is>
      </c>
      <c r="M16" t="inlineStr">
        <is>
          <t xml:space="preserve">2025-11-22</t>
        </is>
      </c>
      <c r="N16" t="inlineStr">
        <is>
          <t xml:space="preserve">2026-11-24</t>
        </is>
      </c>
      <c r="O16" t="inlineStr">
        <is>
          <t xml:space="preserve"/>
        </is>
      </c>
      <c r="P16" t="inlineStr">
        <is>
          <t xml:space="preserve">2</t>
        </is>
      </c>
      <c r="Q16" t="inlineStr">
        <is>
          <t xml:space="preserve"/>
        </is>
      </c>
      <c r="R16" t="inlineStr">
        <is>
          <t xml:space="preserve"/>
        </is>
      </c>
      <c r="S16" s="3" t="str">
        <f>HYPERLINK("https://clinicaltrials.gov/study/NCT07532395","https://clinicaltrials.gov/study/NCT07532395")</f>
        <v>https://clinicaltrials.gov/study/NCT07532395</v>
      </c>
    </row>
    <row r="17">
      <c r="A17" t="inlineStr">
        <is>
          <t xml:space="preserve">2026-10-20</t>
        </is>
      </c>
      <c r="B17" t="inlineStr">
        <is>
          <t xml:space="preserve">updated</t>
        </is>
      </c>
      <c r="C17" t="inlineStr">
        <is>
          <t xml:space="preserve">NCT07519369</t>
        </is>
      </c>
      <c r="D17" t="inlineStr">
        <is>
          <t xml:space="preserve">Monitoring Daily Mobility in Children With Autism</t>
        </is>
      </c>
      <c r="E17" t="inlineStr">
        <is>
          <t xml:space="preserve">recruiting</t>
        </is>
      </c>
      <c r="F17" t="inlineStr">
        <is>
          <t xml:space="preserve"/>
        </is>
      </c>
      <c r="G17" t="inlineStr">
        <is>
          <t xml:space="preserve">Interventional</t>
        </is>
      </c>
      <c r="H17" t="inlineStr">
        <is>
          <t xml:space="preserve">Device</t>
        </is>
      </c>
      <c r="I17" t="inlineStr">
        <is>
          <t xml:space="preserve">placement of a wearable wrist sensor</t>
        </is>
      </c>
      <c r="J17" t="inlineStr">
        <is>
          <t xml:space="preserve">IRCCS San Raffaele Roma</t>
        </is>
      </c>
      <c r="K17" t="inlineStr">
        <is>
          <t xml:space="preserve">other</t>
        </is>
      </c>
      <c r="L17" t="inlineStr">
        <is>
          <t xml:space="preserve">80</t>
        </is>
      </c>
      <c r="M17" t="inlineStr">
        <is>
          <t xml:space="preserve">2026-02-18</t>
        </is>
      </c>
      <c r="N17" t="inlineStr">
        <is>
          <t xml:space="preserve">2026-12</t>
        </is>
      </c>
      <c r="O17" t="inlineStr">
        <is>
          <t xml:space="preserve"/>
        </is>
      </c>
      <c r="P17" t="inlineStr">
        <is>
          <t xml:space="preserve">1</t>
        </is>
      </c>
      <c r="Q17" t="inlineStr">
        <is>
          <t xml:space="preserve"/>
        </is>
      </c>
      <c r="R17" t="inlineStr">
        <is>
          <t xml:space="preserve">Device / stimulation</t>
        </is>
      </c>
      <c r="S17" s="3" t="str">
        <f>HYPERLINK("https://clinicaltrials.gov/study/NCT07519369","https://clinicaltrials.gov/study/NCT07519369")</f>
        <v>https://clinicaltrials.gov/study/NCT07519369</v>
      </c>
    </row>
    <row r="18">
      <c r="A18" t="inlineStr">
        <is>
          <t xml:space="preserve">2026-10-20</t>
        </is>
      </c>
      <c r="B18" t="inlineStr">
        <is>
          <t xml:space="preserve">updated</t>
        </is>
      </c>
      <c r="C18" t="inlineStr">
        <is>
          <t xml:space="preserve">NCT07214545</t>
        </is>
      </c>
      <c r="D18" t="inlineStr">
        <is>
          <t xml:space="preserve">External Trigeminal Nerve Stimulation for Children With ASD + ADHD to Reduce Elevated Symptoms</t>
        </is>
      </c>
      <c r="E18" t="inlineStr">
        <is>
          <t xml:space="preserve">recruiting</t>
        </is>
      </c>
      <c r="F18" t="inlineStr">
        <is>
          <t xml:space="preserve"/>
        </is>
      </c>
      <c r="G18" t="inlineStr">
        <is>
          <t xml:space="preserve">Interventional</t>
        </is>
      </c>
      <c r="H18" t="inlineStr">
        <is>
          <t xml:space="preserve">Device</t>
        </is>
      </c>
      <c r="I18" t="inlineStr">
        <is>
          <t xml:space="preserve">Trigeminal Nerve Stimulation; Sham Trigeminal Nerve Stimulation</t>
        </is>
      </c>
      <c r="J18" t="inlineStr">
        <is>
          <t xml:space="preserve">University of California, San Francisco</t>
        </is>
      </c>
      <c r="K18" t="inlineStr">
        <is>
          <t xml:space="preserve">other</t>
        </is>
      </c>
      <c r="L18" t="inlineStr">
        <is>
          <t xml:space="preserve">60</t>
        </is>
      </c>
      <c r="M18" t="inlineStr">
        <is>
          <t xml:space="preserve">2025-10-06</t>
        </is>
      </c>
      <c r="N18" t="inlineStr">
        <is>
          <t xml:space="preserve">2027-09</t>
        </is>
      </c>
      <c r="O18" t="inlineStr">
        <is>
          <t xml:space="preserve"/>
        </is>
      </c>
      <c r="P18" t="inlineStr">
        <is>
          <t xml:space="preserve">1</t>
        </is>
      </c>
      <c r="Q18" t="inlineStr">
        <is>
          <t xml:space="preserve">CA</t>
        </is>
      </c>
      <c r="R18" t="inlineStr">
        <is>
          <t xml:space="preserve">Device / stimulation</t>
        </is>
      </c>
      <c r="S18" s="3" t="str">
        <f>HYPERLINK("https://clinicaltrials.gov/study/NCT07214545","https://clinicaltrials.gov/study/NCT07214545")</f>
        <v>https://clinicaltrials.gov/study/NCT07214545</v>
      </c>
    </row>
    <row r="19">
      <c r="A19" t="inlineStr">
        <is>
          <t xml:space="preserve">2026-10-20</t>
        </is>
      </c>
      <c r="B19" t="inlineStr">
        <is>
          <t xml:space="preserve">updated</t>
        </is>
      </c>
      <c r="C19" t="inlineStr">
        <is>
          <t xml:space="preserve">NCT07124091</t>
        </is>
      </c>
      <c r="D19" t="inlineStr">
        <is>
          <t xml:space="preserve">The Effect of a Micro-Appreciation Intervention (Three-Things Journal Application) on Caregiver Burden, Family Functioning, and Happiness Levels for Mothers of Children With Autism Spectrum Disorder</t>
        </is>
      </c>
      <c r="E19" t="inlineStr">
        <is>
          <t xml:space="preserve">completed</t>
        </is>
      </c>
      <c r="F19" t="inlineStr">
        <is>
          <t xml:space="preserve"/>
        </is>
      </c>
      <c r="G19" t="inlineStr">
        <is>
          <t xml:space="preserve">Interventional</t>
        </is>
      </c>
      <c r="H19" t="inlineStr">
        <is>
          <t xml:space="preserve">Behavioral</t>
        </is>
      </c>
      <c r="I19" t="inlineStr">
        <is>
          <t xml:space="preserve">Positive Event Writing Intervention</t>
        </is>
      </c>
      <c r="J19" t="inlineStr">
        <is>
          <t xml:space="preserve">Cukurova University</t>
        </is>
      </c>
      <c r="K19" t="inlineStr">
        <is>
          <t xml:space="preserve">other</t>
        </is>
      </c>
      <c r="L19" t="inlineStr">
        <is>
          <t xml:space="preserve">126</t>
        </is>
      </c>
      <c r="M19" t="inlineStr">
        <is>
          <t xml:space="preserve">2025-05-30</t>
        </is>
      </c>
      <c r="N19" t="inlineStr">
        <is>
          <t xml:space="preserve">2025-08-30</t>
        </is>
      </c>
      <c r="O19" t="inlineStr">
        <is>
          <t xml:space="preserve"/>
        </is>
      </c>
      <c r="P19" t="inlineStr">
        <is>
          <t xml:space="preserve">1</t>
        </is>
      </c>
      <c r="Q19" t="inlineStr">
        <is>
          <t xml:space="preserve"/>
        </is>
      </c>
      <c r="R19" t="inlineStr">
        <is>
          <t xml:space="preserve"/>
        </is>
      </c>
      <c r="S19" s="3" t="str">
        <f>HYPERLINK("https://clinicaltrials.gov/study/NCT07124091","https://clinicaltrials.gov/study/NCT07124091")</f>
        <v>https://clinicaltrials.gov/study/NCT07124091</v>
      </c>
    </row>
    <row r="20">
      <c r="A20" t="inlineStr">
        <is>
          <t xml:space="preserve">2026-10-20</t>
        </is>
      </c>
      <c r="B20" t="inlineStr">
        <is>
          <t xml:space="preserve">updated</t>
        </is>
      </c>
      <c r="C20" t="inlineStr">
        <is>
          <t xml:space="preserve">NCT07789704</t>
        </is>
      </c>
      <c r="D20" t="inlineStr">
        <is>
          <t xml:space="preserve">Structured Sensory-Based Occupational Therapy in Children With Autism</t>
        </is>
      </c>
      <c r="E20" t="inlineStr">
        <is>
          <t xml:space="preserve">recruiting</t>
        </is>
      </c>
      <c r="F20" t="inlineStr">
        <is>
          <t xml:space="preserve"/>
        </is>
      </c>
      <c r="G20" t="inlineStr">
        <is>
          <t xml:space="preserve">Interventional</t>
        </is>
      </c>
      <c r="H20" t="inlineStr">
        <is>
          <t xml:space="preserve">Behavioral</t>
        </is>
      </c>
      <c r="I20" t="inlineStr">
        <is>
          <t xml:space="preserve">Structured Sensory-Based Occupational Therapy; Individualized Home Activity Program</t>
        </is>
      </c>
      <c r="J20" t="inlineStr">
        <is>
          <t xml:space="preserve">Emre DANSUK</t>
        </is>
      </c>
      <c r="K20" t="inlineStr">
        <is>
          <t xml:space="preserve">other</t>
        </is>
      </c>
      <c r="L20" t="inlineStr">
        <is>
          <t xml:space="preserve">40</t>
        </is>
      </c>
      <c r="M20" t="inlineStr">
        <is>
          <t xml:space="preserve">2026-08-28</t>
        </is>
      </c>
      <c r="N20" t="inlineStr">
        <is>
          <t xml:space="preserve">2027-01-01</t>
        </is>
      </c>
      <c r="O20" t="inlineStr">
        <is>
          <t xml:space="preserve"/>
        </is>
      </c>
      <c r="P20" t="inlineStr">
        <is>
          <t xml:space="preserve">1</t>
        </is>
      </c>
      <c r="Q20" t="inlineStr">
        <is>
          <t xml:space="preserve"/>
        </is>
      </c>
      <c r="R20" t="inlineStr">
        <is>
          <t xml:space="preserve">Behavioral</t>
        </is>
      </c>
      <c r="S20" s="3" t="str">
        <f>HYPERLINK("https://clinicaltrials.gov/study/NCT07789704","https://clinicaltrials.gov/study/NCT07789704")</f>
        <v>https://clinicaltrials.gov/study/NCT07789704</v>
      </c>
    </row>
    <row r="21">
      <c r="A21" t="inlineStr">
        <is>
          <t xml:space="preserve">2026-10-20</t>
        </is>
      </c>
      <c r="B21" t="inlineStr">
        <is>
          <t xml:space="preserve">updated</t>
        </is>
      </c>
      <c r="C21" t="inlineStr">
        <is>
          <t xml:space="preserve">NCT07884227</t>
        </is>
      </c>
      <c r="D21" t="inlineStr">
        <is>
          <t xml:space="preserve">Multi-Omics Genetic Investigation Strategies to Enhance the Diagnostic Workflow for Rare Diseases</t>
        </is>
      </c>
      <c r="E21" t="inlineStr">
        <is>
          <t xml:space="preserve">recruiting</t>
        </is>
      </c>
      <c r="F21" t="inlineStr">
        <is>
          <t xml:space="preserve"/>
        </is>
      </c>
      <c r="G21" t="inlineStr">
        <is>
          <t xml:space="preserve">Observational</t>
        </is>
      </c>
      <c r="H21" t="inlineStr">
        <is>
          <t xml:space="preserve"/>
        </is>
      </c>
      <c r="I21" t="inlineStr">
        <is>
          <t xml:space="preserve"/>
        </is>
      </c>
      <c r="J21" t="inlineStr">
        <is>
          <t xml:space="preserve">Istituto Giannina Gaslini</t>
        </is>
      </c>
      <c r="K21" t="inlineStr">
        <is>
          <t xml:space="preserve">other</t>
        </is>
      </c>
      <c r="L21" t="inlineStr">
        <is>
          <t xml:space="preserve">200</t>
        </is>
      </c>
      <c r="M21" t="inlineStr">
        <is>
          <t xml:space="preserve">2023-09-04</t>
        </is>
      </c>
      <c r="N21" t="inlineStr">
        <is>
          <t xml:space="preserve">2026-12-31</t>
        </is>
      </c>
      <c r="O21" t="inlineStr">
        <is>
          <t xml:space="preserve"/>
        </is>
      </c>
      <c r="P21" t="inlineStr">
        <is>
          <t xml:space="preserve">1</t>
        </is>
      </c>
      <c r="Q21" t="inlineStr">
        <is>
          <t xml:space="preserve"/>
        </is>
      </c>
      <c r="R21" t="inlineStr">
        <is>
          <t xml:space="preserve"/>
        </is>
      </c>
      <c r="S21" s="3" t="str">
        <f>HYPERLINK("https://clinicaltrials.gov/study/NCT07884227","https://clinicaltrials.gov/study/NCT07884227")</f>
        <v>https://clinicaltrials.gov/study/NCT07884227</v>
      </c>
    </row>
    <row r="22">
      <c r="A22" t="inlineStr">
        <is>
          <t xml:space="preserve">2026-10-19</t>
        </is>
      </c>
      <c r="B22" t="inlineStr">
        <is>
          <t xml:space="preserve">new study</t>
        </is>
      </c>
      <c r="C22" t="inlineStr">
        <is>
          <t xml:space="preserve">NCT07880028</t>
        </is>
      </c>
      <c r="D22" t="inlineStr">
        <is>
          <t xml:space="preserve">Adapted Group Therapy Compared With Usual Care for Anxiety and Depression in Adults With an Autism Diagnosis</t>
        </is>
      </c>
      <c r="E22" t="inlineStr">
        <is>
          <t xml:space="preserve">not yet recruiting</t>
        </is>
      </c>
      <c r="F22" t="inlineStr">
        <is>
          <t xml:space="preserve"/>
        </is>
      </c>
      <c r="G22" t="inlineStr">
        <is>
          <t xml:space="preserve">Interventional</t>
        </is>
      </c>
      <c r="H22" t="inlineStr">
        <is>
          <t xml:space="preserve">Behavioral</t>
        </is>
      </c>
      <c r="I22" t="inlineStr">
        <is>
          <t xml:space="preserve">Autism-adapted group cognitive behavioral therapy</t>
        </is>
      </c>
      <c r="J22" t="inlineStr">
        <is>
          <t xml:space="preserve">Lovisenberg Diakonale Hospital</t>
        </is>
      </c>
      <c r="K22" t="inlineStr">
        <is>
          <t xml:space="preserve">other</t>
        </is>
      </c>
      <c r="L22" t="inlineStr">
        <is>
          <t xml:space="preserve">154</t>
        </is>
      </c>
      <c r="M22" t="inlineStr">
        <is>
          <t xml:space="preserve">2026-10-19</t>
        </is>
      </c>
      <c r="N22" t="inlineStr">
        <is>
          <t xml:space="preserve">2030-09-01</t>
        </is>
      </c>
      <c r="O22" t="inlineStr">
        <is>
          <t xml:space="preserve"/>
        </is>
      </c>
      <c r="P22" t="inlineStr">
        <is>
          <t xml:space="preserve"/>
        </is>
      </c>
      <c r="Q22" t="inlineStr">
        <is>
          <t xml:space="preserve"/>
        </is>
      </c>
      <c r="R22" t="inlineStr">
        <is>
          <t xml:space="preserve">Behavioral</t>
        </is>
      </c>
      <c r="S22" s="3" t="str">
        <f>HYPERLINK("https://clinicaltrials.gov/study/NCT07880028","https://clinicaltrials.gov/study/NCT07880028")</f>
        <v>https://clinicaltrials.gov/study/NCT07880028</v>
      </c>
    </row>
    <row r="23">
      <c r="A23" t="inlineStr">
        <is>
          <t xml:space="preserve">2026-10-19</t>
        </is>
      </c>
      <c r="B23" t="inlineStr">
        <is>
          <t xml:space="preserve">updated</t>
        </is>
      </c>
      <c r="C23" t="inlineStr">
        <is>
          <t xml:space="preserve">NCT05926687</t>
        </is>
      </c>
      <c r="D23" t="inlineStr">
        <is>
          <t xml:space="preserve">Optimizing Outcomes for Young Autistic Children</t>
        </is>
      </c>
      <c r="E23" t="inlineStr">
        <is>
          <t xml:space="preserve">active not recruiting</t>
        </is>
      </c>
      <c r="F23" t="inlineStr">
        <is>
          <t xml:space="preserve">PHASE2</t>
        </is>
      </c>
      <c r="G23" t="inlineStr">
        <is>
          <t xml:space="preserve">Interventional</t>
        </is>
      </c>
      <c r="H23" t="inlineStr">
        <is>
          <t xml:space="preserve">Behavioral</t>
        </is>
      </c>
      <c r="I23" t="inlineStr">
        <is>
          <t xml:space="preserve">Social Communication; Disruptive Behavior; Social Communication + Reduce Frequency; Social Communication + Add Tools; Disruptive Behavior + Reduce Frequency; Disruptive Behavior + Add Tools</t>
        </is>
      </c>
      <c r="J23" t="inlineStr">
        <is>
          <t xml:space="preserve">Northwestern University</t>
        </is>
      </c>
      <c r="K23" t="inlineStr">
        <is>
          <t xml:space="preserve">other</t>
        </is>
      </c>
      <c r="L23" t="inlineStr">
        <is>
          <t xml:space="preserve">184</t>
        </is>
      </c>
      <c r="M23" t="inlineStr">
        <is>
          <t xml:space="preserve">2023-07-11</t>
        </is>
      </c>
      <c r="N23" t="inlineStr">
        <is>
          <t xml:space="preserve">2027-02-28</t>
        </is>
      </c>
      <c r="O23" t="inlineStr">
        <is>
          <t xml:space="preserve"/>
        </is>
      </c>
      <c r="P23" t="inlineStr">
        <is>
          <t xml:space="preserve">1</t>
        </is>
      </c>
      <c r="Q23" t="inlineStr">
        <is>
          <t xml:space="preserve">IL</t>
        </is>
      </c>
      <c r="R23" t="inlineStr">
        <is>
          <t xml:space="preserve"/>
        </is>
      </c>
      <c r="S23" s="3" t="str">
        <f>HYPERLINK("https://clinicaltrials.gov/study/NCT05926687","https://clinicaltrials.gov/study/NCT05926687")</f>
        <v>https://clinicaltrials.gov/study/NCT05926687</v>
      </c>
    </row>
    <row r="24">
      <c r="A24" t="inlineStr">
        <is>
          <t xml:space="preserve">2026-10-19</t>
        </is>
      </c>
      <c r="B24" t="inlineStr">
        <is>
          <t xml:space="preserve">updated</t>
        </is>
      </c>
      <c r="C24" t="inlineStr">
        <is>
          <t xml:space="preserve">NCT07881016</t>
        </is>
      </c>
      <c r="D24" t="inlineStr">
        <is>
          <t xml:space="preserve">French Minds Cohort: a French Longitudinal and Multimodal Cohort of Patients With Major Mood Disorders, Psychotic Disorders, Autism Spectrum Disorders, and Healthy Controls</t>
        </is>
      </c>
      <c r="E24" t="inlineStr">
        <is>
          <t xml:space="preserve">recruiting</t>
        </is>
      </c>
      <c r="F24" t="inlineStr">
        <is>
          <t xml:space="preserve"/>
        </is>
      </c>
      <c r="G24" t="inlineStr">
        <is>
          <t xml:space="preserve">Interventional</t>
        </is>
      </c>
      <c r="H24" t="inlineStr">
        <is>
          <t xml:space="preserve">Other, Procedure</t>
        </is>
      </c>
      <c r="I24" t="inlineStr">
        <is>
          <t xml:space="preserve">3T Brain MRI; Biological Sampling; Clinical, Cognitive and Digital Assessments</t>
        </is>
      </c>
      <c r="J24" t="inlineStr">
        <is>
          <t xml:space="preserve">Fondation FondaMental</t>
        </is>
      </c>
      <c r="K24" t="inlineStr">
        <is>
          <t xml:space="preserve">other</t>
        </is>
      </c>
      <c r="L24" t="inlineStr">
        <is>
          <t xml:space="preserve">3000</t>
        </is>
      </c>
      <c r="M24" t="inlineStr">
        <is>
          <t xml:space="preserve">2026-06-11</t>
        </is>
      </c>
      <c r="N24" t="inlineStr">
        <is>
          <t xml:space="preserve">2031-06</t>
        </is>
      </c>
      <c r="O24" t="inlineStr">
        <is>
          <t xml:space="preserve"/>
        </is>
      </c>
      <c r="P24" t="inlineStr">
        <is>
          <t xml:space="preserve">17</t>
        </is>
      </c>
      <c r="Q24" t="inlineStr">
        <is>
          <t xml:space="preserve"/>
        </is>
      </c>
      <c r="R24" t="inlineStr">
        <is>
          <t xml:space="preserve"/>
        </is>
      </c>
      <c r="S24" s="3" t="str">
        <f>HYPERLINK("https://clinicaltrials.gov/study/NCT07881016","https://clinicaltrials.gov/study/NCT07881016")</f>
        <v>https://clinicaltrials.gov/study/NCT07881016</v>
      </c>
    </row>
    <row r="25">
      <c r="A25" t="inlineStr">
        <is>
          <t xml:space="preserve">2026-10-16</t>
        </is>
      </c>
      <c r="B25" t="inlineStr">
        <is>
          <t xml:space="preserve">updated</t>
        </is>
      </c>
      <c r="C25" t="inlineStr">
        <is>
          <t xml:space="preserve">NCT07243561</t>
        </is>
      </c>
      <c r="D25" t="inlineStr">
        <is>
          <t xml:space="preserve">Prospective Clinical Study on Human Umbilical Cord Mesenchymal Stem Cell-Derived Exosomes for the Treatment of Childhood Autism</t>
        </is>
      </c>
      <c r="E25" t="inlineStr">
        <is>
          <t xml:space="preserve">recruiting</t>
        </is>
      </c>
      <c r="F25" t="inlineStr">
        <is>
          <t xml:space="preserve">PHASE1, PHASE2</t>
        </is>
      </c>
      <c r="G25" t="inlineStr">
        <is>
          <t xml:space="preserve">Interventional</t>
        </is>
      </c>
      <c r="H25" t="inlineStr">
        <is>
          <t xml:space="preserve">Biological</t>
        </is>
      </c>
      <c r="I25" t="inlineStr">
        <is>
          <t xml:space="preserve">hUC-MSC-Exos Nasal Spray</t>
        </is>
      </c>
      <c r="J25" t="inlineStr">
        <is>
          <t xml:space="preserve">Dongfang People's Hospital</t>
        </is>
      </c>
      <c r="K25" t="inlineStr">
        <is>
          <t xml:space="preserve">other</t>
        </is>
      </c>
      <c r="L25" t="inlineStr">
        <is>
          <t xml:space="preserve">60</t>
        </is>
      </c>
      <c r="M25" t="inlineStr">
        <is>
          <t xml:space="preserve">2025-09-01</t>
        </is>
      </c>
      <c r="N25" t="inlineStr">
        <is>
          <t xml:space="preserve">2026-10-30</t>
        </is>
      </c>
      <c r="O25" t="inlineStr">
        <is>
          <t xml:space="preserve"/>
        </is>
      </c>
      <c r="P25" t="inlineStr">
        <is>
          <t xml:space="preserve">1</t>
        </is>
      </c>
      <c r="Q25" t="inlineStr">
        <is>
          <t xml:space="preserve"/>
        </is>
      </c>
      <c r="R25" t="inlineStr">
        <is>
          <t xml:space="preserve"/>
        </is>
      </c>
      <c r="S25" s="3" t="str">
        <f>HYPERLINK("https://clinicaltrials.gov/study/NCT07243561","https://clinicaltrials.gov/study/NCT07243561")</f>
        <v>https://clinicaltrials.gov/study/NCT07243561</v>
      </c>
    </row>
    <row r="26">
      <c r="A26" t="inlineStr">
        <is>
          <t xml:space="preserve">2026-10-16</t>
        </is>
      </c>
      <c r="B26" t="inlineStr">
        <is>
          <t xml:space="preserve">new study</t>
        </is>
      </c>
      <c r="C26" t="inlineStr">
        <is>
          <t xml:space="preserve">NCT07812233</t>
        </is>
      </c>
      <c r="D26" t="inlineStr">
        <is>
          <t xml:space="preserve">Heart Rate Variability Biofeedback for Anxiety in Autistic Youth</t>
        </is>
      </c>
      <c r="E26" t="inlineStr">
        <is>
          <t xml:space="preserve">recruiting</t>
        </is>
      </c>
      <c r="F26" t="inlineStr">
        <is>
          <t xml:space="preserve">PHASE2</t>
        </is>
      </c>
      <c r="G26" t="inlineStr">
        <is>
          <t xml:space="preserve">Interventional</t>
        </is>
      </c>
      <c r="H26" t="inlineStr">
        <is>
          <t xml:space="preserve">Device</t>
        </is>
      </c>
      <c r="I26" t="inlineStr">
        <is>
          <t xml:space="preserve">Lief Smart Patch</t>
        </is>
      </c>
      <c r="J26" t="inlineStr">
        <is>
          <t xml:space="preserve">Massachusetts General Hospital</t>
        </is>
      </c>
      <c r="K26" t="inlineStr">
        <is>
          <t xml:space="preserve">other</t>
        </is>
      </c>
      <c r="L26" t="inlineStr">
        <is>
          <t xml:space="preserve">50</t>
        </is>
      </c>
      <c r="M26" t="inlineStr">
        <is>
          <t xml:space="preserve">2026-10-26</t>
        </is>
      </c>
      <c r="N26" t="inlineStr">
        <is>
          <t xml:space="preserve">2029-05</t>
        </is>
      </c>
      <c r="O26" t="inlineStr">
        <is>
          <t xml:space="preserve"/>
        </is>
      </c>
      <c r="P26" t="inlineStr">
        <is>
          <t xml:space="preserve">1</t>
        </is>
      </c>
      <c r="Q26" t="inlineStr">
        <is>
          <t xml:space="preserve">MA</t>
        </is>
      </c>
      <c r="R26" t="inlineStr">
        <is>
          <t xml:space="preserve">Device / stimulation</t>
        </is>
      </c>
      <c r="S26" s="3" t="str">
        <f>HYPERLINK("https://clinicaltrials.gov/study/NCT07812233","https://clinicaltrials.gov/study/NCT07812233")</f>
        <v>https://clinicaltrials.gov/study/NCT07812233</v>
      </c>
    </row>
    <row r="27">
      <c r="A27" t="inlineStr">
        <is>
          <t xml:space="preserve">2026-10-16</t>
        </is>
      </c>
      <c r="B27" t="inlineStr">
        <is>
          <t xml:space="preserve">updated</t>
        </is>
      </c>
      <c r="C27" t="inlineStr">
        <is>
          <t xml:space="preserve">NCT07446413</t>
        </is>
      </c>
      <c r="D27" t="inlineStr">
        <is>
          <t xml:space="preserve">Mobile App-Based Intervention to Improve Toothbrushing in Children and Teens With Autism</t>
        </is>
      </c>
      <c r="E27" t="inlineStr">
        <is>
          <t xml:space="preserve">enrolling by invitation</t>
        </is>
      </c>
      <c r="F27" t="inlineStr">
        <is>
          <t xml:space="preserve"/>
        </is>
      </c>
      <c r="G27" t="inlineStr">
        <is>
          <t xml:space="preserve">Interventional</t>
        </is>
      </c>
      <c r="H27" t="inlineStr">
        <is>
          <t xml:space="preserve">Behavioral</t>
        </is>
      </c>
      <c r="I27" t="inlineStr">
        <is>
          <t xml:space="preserve">Brush Up App; Brush Down App</t>
        </is>
      </c>
      <c r="J27" t="inlineStr">
        <is>
          <t xml:space="preserve">University of Washington</t>
        </is>
      </c>
      <c r="K27" t="inlineStr">
        <is>
          <t xml:space="preserve">other</t>
        </is>
      </c>
      <c r="L27" t="inlineStr">
        <is>
          <t xml:space="preserve">270</t>
        </is>
      </c>
      <c r="M27" t="inlineStr">
        <is>
          <t xml:space="preserve">2026-05-07</t>
        </is>
      </c>
      <c r="N27" t="inlineStr">
        <is>
          <t xml:space="preserve">2028-08-31</t>
        </is>
      </c>
      <c r="O27" t="inlineStr">
        <is>
          <t xml:space="preserve"/>
        </is>
      </c>
      <c r="P27" t="inlineStr">
        <is>
          <t xml:space="preserve">1</t>
        </is>
      </c>
      <c r="Q27" t="inlineStr">
        <is>
          <t xml:space="preserve">WA</t>
        </is>
      </c>
      <c r="R27" t="inlineStr">
        <is>
          <t xml:space="preserve"/>
        </is>
      </c>
      <c r="S27" s="3" t="str">
        <f>HYPERLINK("https://clinicaltrials.gov/study/NCT07446413","https://clinicaltrials.gov/study/NCT07446413")</f>
        <v>https://clinicaltrials.gov/study/NCT07446413</v>
      </c>
    </row>
    <row r="28">
      <c r="A28" t="inlineStr">
        <is>
          <t xml:space="preserve">2026-10-16</t>
        </is>
      </c>
      <c r="B28" t="inlineStr">
        <is>
          <t xml:space="preserve">updated</t>
        </is>
      </c>
      <c r="C28" t="inlineStr">
        <is>
          <t xml:space="preserve">NCT01778504</t>
        </is>
      </c>
      <c r="D28" t="inlineStr">
        <is>
          <t xml:space="preserve">Studying Childhood-onset Behavioral, Psychiatric, and Developmental Disorders</t>
        </is>
      </c>
      <c r="E28" t="inlineStr">
        <is>
          <t xml:space="preserve">completed</t>
        </is>
      </c>
      <c r="F28" t="inlineStr">
        <is>
          <t xml:space="preserve"/>
        </is>
      </c>
      <c r="G28" t="inlineStr">
        <is>
          <t xml:space="preserve">Observational</t>
        </is>
      </c>
      <c r="H28" t="inlineStr">
        <is>
          <t xml:space="preserve"/>
        </is>
      </c>
      <c r="I28" t="inlineStr">
        <is>
          <t xml:space="preserve"/>
        </is>
      </c>
      <c r="J28" t="inlineStr">
        <is>
          <t xml:space="preserve">National Institute of Mental Health (NIMH)</t>
        </is>
      </c>
      <c r="K28" t="inlineStr">
        <is>
          <t xml:space="preserve">nih</t>
        </is>
      </c>
      <c r="L28" t="inlineStr">
        <is>
          <t xml:space="preserve">237</t>
        </is>
      </c>
      <c r="M28" t="inlineStr">
        <is>
          <t xml:space="preserve">2012-12-27</t>
        </is>
      </c>
      <c r="N28" t="inlineStr">
        <is>
          <t xml:space="preserve">2025-07-24</t>
        </is>
      </c>
      <c r="O28" t="inlineStr">
        <is>
          <t xml:space="preserve"/>
        </is>
      </c>
      <c r="P28" t="inlineStr">
        <is>
          <t xml:space="preserve">1</t>
        </is>
      </c>
      <c r="Q28" t="inlineStr">
        <is>
          <t xml:space="preserve">MD</t>
        </is>
      </c>
      <c r="R28" t="inlineStr">
        <is>
          <t xml:space="preserve"/>
        </is>
      </c>
      <c r="S28" s="3" t="str">
        <f>HYPERLINK("https://clinicaltrials.gov/study/NCT01778504","https://clinicaltrials.gov/study/NCT01778504")</f>
        <v>https://clinicaltrials.gov/study/NCT01778504</v>
      </c>
    </row>
    <row r="29">
      <c r="A29" t="inlineStr">
        <is>
          <t xml:space="preserve">2026-10-16</t>
        </is>
      </c>
      <c r="B29" t="inlineStr">
        <is>
          <t xml:space="preserve">updated</t>
        </is>
      </c>
      <c r="C29" t="inlineStr">
        <is>
          <t xml:space="preserve">NCT05277194</t>
        </is>
      </c>
      <c r="D29" t="inlineStr">
        <is>
          <t xml:space="preserve">Reducing Challenging Behaviors in Children With Autism Through Digital Health</t>
        </is>
      </c>
      <c r="E29" t="inlineStr">
        <is>
          <t xml:space="preserve">completed</t>
        </is>
      </c>
      <c r="F29" t="inlineStr">
        <is>
          <t xml:space="preserve"/>
        </is>
      </c>
      <c r="G29" t="inlineStr">
        <is>
          <t xml:space="preserve">Interventional</t>
        </is>
      </c>
      <c r="H29" t="inlineStr">
        <is>
          <t xml:space="preserve">Behavioral</t>
        </is>
      </c>
      <c r="I29" t="inlineStr">
        <is>
          <t xml:space="preserve">KeepCalm app</t>
        </is>
      </c>
      <c r="J29" t="inlineStr">
        <is>
          <t xml:space="preserve">University of Pennsylvania</t>
        </is>
      </c>
      <c r="K29" t="inlineStr">
        <is>
          <t xml:space="preserve">other</t>
        </is>
      </c>
      <c r="L29" t="inlineStr">
        <is>
          <t xml:space="preserve">92</t>
        </is>
      </c>
      <c r="M29" t="inlineStr">
        <is>
          <t xml:space="preserve">2023-09-26</t>
        </is>
      </c>
      <c r="N29" t="inlineStr">
        <is>
          <t xml:space="preserve">2025-06-30</t>
        </is>
      </c>
      <c r="O29" t="inlineStr">
        <is>
          <t xml:space="preserve">yes</t>
        </is>
      </c>
      <c r="P29" t="inlineStr">
        <is>
          <t xml:space="preserve">1</t>
        </is>
      </c>
      <c r="Q29" t="inlineStr">
        <is>
          <t xml:space="preserve">PA</t>
        </is>
      </c>
      <c r="R29" t="inlineStr">
        <is>
          <t xml:space="preserve"/>
        </is>
      </c>
      <c r="S29" s="3" t="str">
        <f>HYPERLINK("https://clinicaltrials.gov/study/NCT05277194","https://clinicaltrials.gov/study/NCT05277194")</f>
        <v>https://clinicaltrials.gov/study/NCT05277194</v>
      </c>
    </row>
    <row r="30">
      <c r="A30" t="inlineStr">
        <is>
          <t xml:space="preserve">2026-10-15</t>
        </is>
      </c>
      <c r="B30" t="inlineStr">
        <is>
          <t xml:space="preserve">updated</t>
        </is>
      </c>
      <c r="C30" t="inlineStr">
        <is>
          <t xml:space="preserve">NCT07516431</t>
        </is>
      </c>
      <c r="D30" t="inlineStr">
        <is>
          <t xml:space="preserve">Preliminary Exploration of the Usability of a Structured Plate to Improve Eating Behaviors in Children With Autism Spectrum Disorder and Its Impact on the Family: A Pilot Study</t>
        </is>
      </c>
      <c r="E30" t="inlineStr">
        <is>
          <t xml:space="preserve">completed</t>
        </is>
      </c>
      <c r="F30" t="inlineStr">
        <is>
          <t xml:space="preserve"/>
        </is>
      </c>
      <c r="G30" t="inlineStr">
        <is>
          <t xml:space="preserve">Interventional</t>
        </is>
      </c>
      <c r="H30" t="inlineStr">
        <is>
          <t xml:space="preserve">Device</t>
        </is>
      </c>
      <c r="I30" t="inlineStr">
        <is>
          <t xml:space="preserve">Structured Plate</t>
        </is>
      </c>
      <c r="J30" t="inlineStr">
        <is>
          <t xml:space="preserve">Universidad de Zaragoza</t>
        </is>
      </c>
      <c r="K30" t="inlineStr">
        <is>
          <t xml:space="preserve">other</t>
        </is>
      </c>
      <c r="L30" t="inlineStr">
        <is>
          <t xml:space="preserve">6</t>
        </is>
      </c>
      <c r="M30" t="inlineStr">
        <is>
          <t xml:space="preserve">2025-04-20</t>
        </is>
      </c>
      <c r="N30" t="inlineStr">
        <is>
          <t xml:space="preserve">2025-06-19</t>
        </is>
      </c>
      <c r="O30" t="inlineStr">
        <is>
          <t xml:space="preserve"/>
        </is>
      </c>
      <c r="P30" t="inlineStr">
        <is>
          <t xml:space="preserve">1</t>
        </is>
      </c>
      <c r="Q30" t="inlineStr">
        <is>
          <t xml:space="preserve"/>
        </is>
      </c>
      <c r="R30" t="inlineStr">
        <is>
          <t xml:space="preserve">Device / stimulation</t>
        </is>
      </c>
      <c r="S30" s="3" t="str">
        <f>HYPERLINK("https://clinicaltrials.gov/study/NCT07516431","https://clinicaltrials.gov/study/NCT07516431")</f>
        <v>https://clinicaltrials.gov/study/NCT07516431</v>
      </c>
    </row>
    <row r="31">
      <c r="A31" t="inlineStr">
        <is>
          <t xml:space="preserve">2026-10-15</t>
        </is>
      </c>
      <c r="B31" t="inlineStr">
        <is>
          <t xml:space="preserve">updated</t>
        </is>
      </c>
      <c r="C31" t="inlineStr">
        <is>
          <t xml:space="preserve">NCT07424404</t>
        </is>
      </c>
      <c r="D31" t="inlineStr">
        <is>
          <t xml:space="preserve">A Study to Evaluate the Long-term Safety and Tolerability of Xanomeline and Trospium Chloride for the Treatment of Psychiatric Disorders in Children and Adolescents</t>
        </is>
      </c>
      <c r="E31" t="inlineStr">
        <is>
          <t xml:space="preserve">recruiting</t>
        </is>
      </c>
      <c r="F31" t="inlineStr">
        <is>
          <t xml:space="preserve">PHASE3</t>
        </is>
      </c>
      <c r="G31" t="inlineStr">
        <is>
          <t xml:space="preserve">Interventional</t>
        </is>
      </c>
      <c r="H31" t="inlineStr">
        <is>
          <t xml:space="preserve">Drug</t>
        </is>
      </c>
      <c r="I31" t="inlineStr">
        <is>
          <t xml:space="preserve">KarXT; KarX-EC</t>
        </is>
      </c>
      <c r="J31" t="inlineStr">
        <is>
          <t xml:space="preserve">Karuna Therapeutics, Inc., a Bristol Myers Squibb company</t>
        </is>
      </c>
      <c r="K31" t="inlineStr">
        <is>
          <t xml:space="preserve">industry</t>
        </is>
      </c>
      <c r="L31" t="inlineStr">
        <is>
          <t xml:space="preserve">400</t>
        </is>
      </c>
      <c r="M31" t="inlineStr">
        <is>
          <t xml:space="preserve">2026-04-07</t>
        </is>
      </c>
      <c r="N31" t="inlineStr">
        <is>
          <t xml:space="preserve">2030-03-08</t>
        </is>
      </c>
      <c r="O31" t="inlineStr">
        <is>
          <t xml:space="preserve"/>
        </is>
      </c>
      <c r="P31" t="inlineStr">
        <is>
          <t xml:space="preserve">104</t>
        </is>
      </c>
      <c r="Q31" t="inlineStr">
        <is>
          <t xml:space="preserve">AL, AZ, CA, CT, FL, GA, IL, KY, MA, MI, MO, NE, NV, NJ, NY, OH, PA, TN, TX, UT, VA, WA</t>
        </is>
      </c>
      <c r="R31" t="inlineStr">
        <is>
          <t xml:space="preserve"/>
        </is>
      </c>
      <c r="S31" s="3" t="str">
        <f>HYPERLINK("https://clinicaltrials.gov/study/NCT07424404","https://clinicaltrials.gov/study/NCT07424404")</f>
        <v>https://clinicaltrials.gov/study/NCT07424404</v>
      </c>
    </row>
    <row r="32">
      <c r="A32" t="inlineStr">
        <is>
          <t xml:space="preserve">2026-10-15</t>
        </is>
      </c>
      <c r="B32" t="inlineStr">
        <is>
          <t xml:space="preserve">updated</t>
        </is>
      </c>
      <c r="C32" t="inlineStr">
        <is>
          <t xml:space="preserve">NCT07876245</t>
        </is>
      </c>
      <c r="D32" t="inlineStr">
        <is>
          <t xml:space="preserve">Interactive Massage Intervention in Toddlers With Autism Spectrum Disorder</t>
        </is>
      </c>
      <c r="E32" t="inlineStr">
        <is>
          <t xml:space="preserve">recruiting</t>
        </is>
      </c>
      <c r="F32" t="inlineStr">
        <is>
          <t xml:space="preserve"/>
        </is>
      </c>
      <c r="G32" t="inlineStr">
        <is>
          <t xml:space="preserve">Interventional</t>
        </is>
      </c>
      <c r="H32" t="inlineStr">
        <is>
          <t xml:space="preserve">Behavioral</t>
        </is>
      </c>
      <c r="I32" t="inlineStr">
        <is>
          <t xml:space="preserve">Maternal Interactive Massage; Behavioral</t>
        </is>
      </c>
      <c r="J32" t="inlineStr">
        <is>
          <t xml:space="preserve">Children's Hospital of Fudan University</t>
        </is>
      </c>
      <c r="K32" t="inlineStr">
        <is>
          <t xml:space="preserve">other</t>
        </is>
      </c>
      <c r="L32" t="inlineStr">
        <is>
          <t xml:space="preserve">120</t>
        </is>
      </c>
      <c r="M32" t="inlineStr">
        <is>
          <t xml:space="preserve">2025-09-01</t>
        </is>
      </c>
      <c r="N32" t="inlineStr">
        <is>
          <t xml:space="preserve">2028-06-30</t>
        </is>
      </c>
      <c r="O32" t="inlineStr">
        <is>
          <t xml:space="preserve"/>
        </is>
      </c>
      <c r="P32" t="inlineStr">
        <is>
          <t xml:space="preserve">1</t>
        </is>
      </c>
      <c r="Q32" t="inlineStr">
        <is>
          <t xml:space="preserve"/>
        </is>
      </c>
      <c r="R32" t="inlineStr">
        <is>
          <t xml:space="preserve"/>
        </is>
      </c>
      <c r="S32" s="3" t="str">
        <f>HYPERLINK("https://clinicaltrials.gov/study/NCT07876245","https://clinicaltrials.gov/study/NCT07876245")</f>
        <v>https://clinicaltrials.gov/study/NCT07876245</v>
      </c>
    </row>
    <row r="33">
      <c r="A33" t="inlineStr">
        <is>
          <t xml:space="preserve">2026-10-15</t>
        </is>
      </c>
      <c r="B33" t="inlineStr">
        <is>
          <t xml:space="preserve">updated</t>
        </is>
      </c>
      <c r="C33" t="inlineStr">
        <is>
          <t xml:space="preserve">NCT07708246</t>
        </is>
      </c>
      <c r="D33" t="inlineStr">
        <is>
          <t xml:space="preserve">Parent-Mediated Social Cognition Intervention for Young Children With Autism Spectrum Disorder</t>
        </is>
      </c>
      <c r="E33" t="inlineStr">
        <is>
          <t xml:space="preserve">recruiting</t>
        </is>
      </c>
      <c r="F33" t="inlineStr">
        <is>
          <t xml:space="preserve"/>
        </is>
      </c>
      <c r="G33" t="inlineStr">
        <is>
          <t xml:space="preserve">Interventional</t>
        </is>
      </c>
      <c r="H33" t="inlineStr">
        <is>
          <t xml:space="preserve">Behavioral</t>
        </is>
      </c>
      <c r="I33" t="inlineStr">
        <is>
          <t xml:space="preserve">Companion Mind-Drawing Cooperative Game Program</t>
        </is>
      </c>
      <c r="J33" t="inlineStr">
        <is>
          <t xml:space="preserve">Children's Hospital of Fudan University</t>
        </is>
      </c>
      <c r="K33" t="inlineStr">
        <is>
          <t xml:space="preserve">other</t>
        </is>
      </c>
      <c r="L33" t="inlineStr">
        <is>
          <t xml:space="preserve">60</t>
        </is>
      </c>
      <c r="M33" t="inlineStr">
        <is>
          <t xml:space="preserve">2025-06-01</t>
        </is>
      </c>
      <c r="N33" t="inlineStr">
        <is>
          <t xml:space="preserve">2028-12-30</t>
        </is>
      </c>
      <c r="O33" t="inlineStr">
        <is>
          <t xml:space="preserve"/>
        </is>
      </c>
      <c r="P33" t="inlineStr">
        <is>
          <t xml:space="preserve">1</t>
        </is>
      </c>
      <c r="Q33" t="inlineStr">
        <is>
          <t xml:space="preserve"/>
        </is>
      </c>
      <c r="R33" t="inlineStr">
        <is>
          <t xml:space="preserve">Behavioral</t>
        </is>
      </c>
      <c r="S33" s="3" t="str">
        <f>HYPERLINK("https://clinicaltrials.gov/study/NCT07708246","https://clinicaltrials.gov/study/NCT07708246")</f>
        <v>https://clinicaltrials.gov/study/NCT07708246</v>
      </c>
    </row>
    <row r="34">
      <c r="A34" t="inlineStr">
        <is>
          <t xml:space="preserve">2026-10-15</t>
        </is>
      </c>
      <c r="B34" t="inlineStr">
        <is>
          <t xml:space="preserve">updated</t>
        </is>
      </c>
      <c r="C34" t="inlineStr">
        <is>
          <t xml:space="preserve">NCT07322952</t>
        </is>
      </c>
      <c r="D34" t="inlineStr">
        <is>
          <t xml:space="preserve">Cognitively Enhanced Tai Chi for Executive Function in Children With Autism Spectrum Disorder</t>
        </is>
      </c>
      <c r="E34" t="inlineStr">
        <is>
          <t xml:space="preserve">completed</t>
        </is>
      </c>
      <c r="F34" t="inlineStr">
        <is>
          <t xml:space="preserve"/>
        </is>
      </c>
      <c r="G34" t="inlineStr">
        <is>
          <t xml:space="preserve">Interventional</t>
        </is>
      </c>
      <c r="H34" t="inlineStr">
        <is>
          <t xml:space="preserve">Behavioral</t>
        </is>
      </c>
      <c r="I34" t="inlineStr">
        <is>
          <t xml:space="preserve">Cognitively Enhanced Tai Chi; Standard Tai Chi; General Exercise</t>
        </is>
      </c>
      <c r="J34" t="inlineStr">
        <is>
          <t xml:space="preserve">Jinan University Guangzhou</t>
        </is>
      </c>
      <c r="K34" t="inlineStr">
        <is>
          <t xml:space="preserve">other</t>
        </is>
      </c>
      <c r="L34" t="inlineStr">
        <is>
          <t xml:space="preserve">158</t>
        </is>
      </c>
      <c r="M34" t="inlineStr">
        <is>
          <t xml:space="preserve">2025-12-24</t>
        </is>
      </c>
      <c r="N34" t="inlineStr">
        <is>
          <t xml:space="preserve">2026-06-25</t>
        </is>
      </c>
      <c r="O34" t="inlineStr">
        <is>
          <t xml:space="preserve"/>
        </is>
      </c>
      <c r="P34" t="inlineStr">
        <is>
          <t xml:space="preserve">1</t>
        </is>
      </c>
      <c r="Q34" t="inlineStr">
        <is>
          <t xml:space="preserve"/>
        </is>
      </c>
      <c r="R34" t="inlineStr">
        <is>
          <t xml:space="preserve"/>
        </is>
      </c>
      <c r="S34" s="3" t="str">
        <f>HYPERLINK("https://clinicaltrials.gov/study/NCT07322952","https://clinicaltrials.gov/study/NCT07322952")</f>
        <v>https://clinicaltrials.gov/study/NCT07322952</v>
      </c>
    </row>
    <row r="35">
      <c r="A35" t="inlineStr">
        <is>
          <t xml:space="preserve">2026-10-14</t>
        </is>
      </c>
      <c r="B35" t="inlineStr">
        <is>
          <t xml:space="preserve">updated</t>
        </is>
      </c>
      <c r="C35" t="inlineStr">
        <is>
          <t xml:space="preserve">NCT07159308</t>
        </is>
      </c>
      <c r="D35" t="inlineStr">
        <is>
          <t xml:space="preserve">Motivation for Daily Living Skills</t>
        </is>
      </c>
      <c r="E35" t="inlineStr">
        <is>
          <t xml:space="preserve">recruiting</t>
        </is>
      </c>
      <c r="F35" t="inlineStr">
        <is>
          <t xml:space="preserve"/>
        </is>
      </c>
      <c r="G35" t="inlineStr">
        <is>
          <t xml:space="preserve">Interventional</t>
        </is>
      </c>
      <c r="H35" t="inlineStr">
        <is>
          <t xml:space="preserve">Behavioral</t>
        </is>
      </c>
      <c r="I35" t="inlineStr">
        <is>
          <t xml:space="preserve">Intrinsic Motivation Treatment; Extrinsic Motivation Treatment; Combined Intrinsic and Extrinsic Motivation Treatment</t>
        </is>
      </c>
      <c r="J35" t="inlineStr">
        <is>
          <t xml:space="preserve">Children's Hospital of Philadelphia</t>
        </is>
      </c>
      <c r="K35" t="inlineStr">
        <is>
          <t xml:space="preserve">other</t>
        </is>
      </c>
      <c r="L35" t="inlineStr">
        <is>
          <t xml:space="preserve">180</t>
        </is>
      </c>
      <c r="M35" t="inlineStr">
        <is>
          <t xml:space="preserve">2025-09-15</t>
        </is>
      </c>
      <c r="N35" t="inlineStr">
        <is>
          <t xml:space="preserve">2027-06</t>
        </is>
      </c>
      <c r="O35" t="inlineStr">
        <is>
          <t xml:space="preserve"/>
        </is>
      </c>
      <c r="P35" t="inlineStr">
        <is>
          <t xml:space="preserve">1</t>
        </is>
      </c>
      <c r="Q35" t="inlineStr">
        <is>
          <t xml:space="preserve">PA</t>
        </is>
      </c>
      <c r="R35" t="inlineStr">
        <is>
          <t xml:space="preserve"/>
        </is>
      </c>
      <c r="S35" s="3" t="str">
        <f>HYPERLINK("https://clinicaltrials.gov/study/NCT07159308","https://clinicaltrials.gov/study/NCT07159308")</f>
        <v>https://clinicaltrials.gov/study/NCT07159308</v>
      </c>
    </row>
    <row r="36">
      <c r="A36" t="inlineStr">
        <is>
          <t xml:space="preserve">2026-10-13</t>
        </is>
      </c>
      <c r="B36" t="inlineStr">
        <is>
          <t xml:space="preserve">updated</t>
        </is>
      </c>
      <c r="C36" t="inlineStr">
        <is>
          <t xml:space="preserve">NCT07021274</t>
        </is>
      </c>
      <c r="D36" t="inlineStr">
        <is>
          <t xml:space="preserve">DBT Skill Training for Autistic Adults With Difficulties in Emotion Regulation.</t>
        </is>
      </c>
      <c r="E36" t="inlineStr">
        <is>
          <t xml:space="preserve">recruiting</t>
        </is>
      </c>
      <c r="F36" t="inlineStr">
        <is>
          <t xml:space="preserve"/>
        </is>
      </c>
      <c r="G36" t="inlineStr">
        <is>
          <t xml:space="preserve">Interventional</t>
        </is>
      </c>
      <c r="H36" t="inlineStr">
        <is>
          <t xml:space="preserve">Behavioral</t>
        </is>
      </c>
      <c r="I36" t="inlineStr">
        <is>
          <t xml:space="preserve">DBT skills training adjusted to autistic needs</t>
        </is>
      </c>
      <c r="J36" t="inlineStr">
        <is>
          <t xml:space="preserve">Helse Møre og Romsdal HF</t>
        </is>
      </c>
      <c r="K36" t="inlineStr">
        <is>
          <t xml:space="preserve">other gov</t>
        </is>
      </c>
      <c r="L36" t="inlineStr">
        <is>
          <t xml:space="preserve">15</t>
        </is>
      </c>
      <c r="M36" t="inlineStr">
        <is>
          <t xml:space="preserve">2025-08-15</t>
        </is>
      </c>
      <c r="N36" t="inlineStr">
        <is>
          <t xml:space="preserve">2027-02-28</t>
        </is>
      </c>
      <c r="O36" t="inlineStr">
        <is>
          <t xml:space="preserve"/>
        </is>
      </c>
      <c r="P36" t="inlineStr">
        <is>
          <t xml:space="preserve">1</t>
        </is>
      </c>
      <c r="Q36" t="inlineStr">
        <is>
          <t xml:space="preserve"/>
        </is>
      </c>
      <c r="R36" t="inlineStr">
        <is>
          <t xml:space="preserve"/>
        </is>
      </c>
      <c r="S36" s="3" t="str">
        <f>HYPERLINK("https://clinicaltrials.gov/study/NCT07021274","https://clinicaltrials.gov/study/NCT07021274")</f>
        <v>https://clinicaltrials.gov/study/NCT07021274</v>
      </c>
    </row>
    <row r="37">
      <c r="A37" t="inlineStr">
        <is>
          <t xml:space="preserve">2026-10-13</t>
        </is>
      </c>
      <c r="B37" t="inlineStr">
        <is>
          <t xml:space="preserve">updated</t>
        </is>
      </c>
      <c r="C37" t="inlineStr">
        <is>
          <t xml:space="preserve">NCT04881656</t>
        </is>
      </c>
      <c r="D37" t="inlineStr">
        <is>
          <t xml:space="preserve">Evaluating the Impact of Telehealth-Based ASD Assessments and Supports on Child and Caregiver Outcomes</t>
        </is>
      </c>
      <c r="E37" t="inlineStr">
        <is>
          <t xml:space="preserve">active not recruiting</t>
        </is>
      </c>
      <c r="F37" t="inlineStr">
        <is>
          <t xml:space="preserve"/>
        </is>
      </c>
      <c r="G37" t="inlineStr">
        <is>
          <t xml:space="preserve">Interventional</t>
        </is>
      </c>
      <c r="H37" t="inlineStr">
        <is>
          <t xml:space="preserve">Other</t>
        </is>
      </c>
      <c r="I37" t="inlineStr">
        <is>
          <t xml:space="preserve">Help is in Your Hands</t>
        </is>
      </c>
      <c r="J37" t="inlineStr">
        <is>
          <t xml:space="preserve">University of California, Davis</t>
        </is>
      </c>
      <c r="K37" t="inlineStr">
        <is>
          <t xml:space="preserve">other</t>
        </is>
      </c>
      <c r="L37" t="inlineStr">
        <is>
          <t xml:space="preserve">80</t>
        </is>
      </c>
      <c r="M37" t="inlineStr">
        <is>
          <t xml:space="preserve">2021-09-01</t>
        </is>
      </c>
      <c r="N37" t="inlineStr">
        <is>
          <t xml:space="preserve">2033-05-31</t>
        </is>
      </c>
      <c r="O37" t="inlineStr">
        <is>
          <t xml:space="preserve"/>
        </is>
      </c>
      <c r="P37" t="inlineStr">
        <is>
          <t xml:space="preserve">1</t>
        </is>
      </c>
      <c r="Q37" t="inlineStr">
        <is>
          <t xml:space="preserve">CA</t>
        </is>
      </c>
      <c r="R37" t="inlineStr">
        <is>
          <t xml:space="preserve"/>
        </is>
      </c>
      <c r="S37" s="3" t="str">
        <f>HYPERLINK("https://clinicaltrials.gov/study/NCT04881656","https://clinicaltrials.gov/study/NCT04881656")</f>
        <v>https://clinicaltrials.gov/study/NCT04881656</v>
      </c>
    </row>
    <row r="38">
      <c r="A38" t="inlineStr">
        <is>
          <t xml:space="preserve">2026-10-13</t>
        </is>
      </c>
      <c r="B38" t="inlineStr">
        <is>
          <t xml:space="preserve">updated</t>
        </is>
      </c>
      <c r="C38" t="inlineStr">
        <is>
          <t xml:space="preserve">NCT07027319</t>
        </is>
      </c>
      <c r="D38" t="inlineStr">
        <is>
          <t xml:space="preserve">The Effect of Triple P Training on Children's Repetitive Behaviors and Parents' Mood and Burnout Levels in Parents of Children With Autism</t>
        </is>
      </c>
      <c r="E38" t="inlineStr">
        <is>
          <t xml:space="preserve">recruiting</t>
        </is>
      </c>
      <c r="F38" t="inlineStr">
        <is>
          <t xml:space="preserve"/>
        </is>
      </c>
      <c r="G38" t="inlineStr">
        <is>
          <t xml:space="preserve">Interventional</t>
        </is>
      </c>
      <c r="H38" t="inlineStr">
        <is>
          <t xml:space="preserve">Other</t>
        </is>
      </c>
      <c r="I38" t="inlineStr">
        <is>
          <t xml:space="preserve">Parenting Education</t>
        </is>
      </c>
      <c r="J38" t="inlineStr">
        <is>
          <t xml:space="preserve">Özlem Teke</t>
        </is>
      </c>
      <c r="K38" t="inlineStr">
        <is>
          <t xml:space="preserve">other</t>
        </is>
      </c>
      <c r="L38" t="inlineStr">
        <is>
          <t xml:space="preserve">70</t>
        </is>
      </c>
      <c r="M38" t="inlineStr">
        <is>
          <t xml:space="preserve">2025-04-22</t>
        </is>
      </c>
      <c r="N38" t="inlineStr">
        <is>
          <t xml:space="preserve">2026-07-30</t>
        </is>
      </c>
      <c r="O38" t="inlineStr">
        <is>
          <t xml:space="preserve"/>
        </is>
      </c>
      <c r="P38" t="inlineStr">
        <is>
          <t xml:space="preserve">1</t>
        </is>
      </c>
      <c r="Q38" t="inlineStr">
        <is>
          <t xml:space="preserve"/>
        </is>
      </c>
      <c r="R38" t="inlineStr">
        <is>
          <t xml:space="preserve"/>
        </is>
      </c>
      <c r="S38" s="3" t="str">
        <f>HYPERLINK("https://clinicaltrials.gov/study/NCT07027319","https://clinicaltrials.gov/study/NCT07027319")</f>
        <v>https://clinicaltrials.gov/study/NCT07027319</v>
      </c>
    </row>
    <row r="39">
      <c r="A39" t="inlineStr">
        <is>
          <t xml:space="preserve">2026-10-13</t>
        </is>
      </c>
      <c r="B39" t="inlineStr">
        <is>
          <t xml:space="preserve">updated</t>
        </is>
      </c>
      <c r="C39" t="inlineStr">
        <is>
          <t xml:space="preserve">NCT07056387</t>
        </is>
      </c>
      <c r="D39" t="inlineStr">
        <is>
          <t xml:space="preserve">The Effects of a Nurse-led Community-based Sailing Programme on Resilience of School-aged Children With Autism: An RCT</t>
        </is>
      </c>
      <c r="E39" t="inlineStr">
        <is>
          <t xml:space="preserve">completed</t>
        </is>
      </c>
      <c r="F39" t="inlineStr">
        <is>
          <t xml:space="preserve"/>
        </is>
      </c>
      <c r="G39" t="inlineStr">
        <is>
          <t xml:space="preserve">Interventional</t>
        </is>
      </c>
      <c r="H39" t="inlineStr">
        <is>
          <t xml:space="preserve">Other</t>
        </is>
      </c>
      <c r="I39" t="inlineStr">
        <is>
          <t xml:space="preserve">A nurse-led community-based sailing programme; Crafting activities</t>
        </is>
      </c>
      <c r="J39" t="inlineStr">
        <is>
          <t xml:space="preserve">Chinese University of Hong Kong</t>
        </is>
      </c>
      <c r="K39" t="inlineStr">
        <is>
          <t xml:space="preserve">other</t>
        </is>
      </c>
      <c r="L39" t="inlineStr">
        <is>
          <t xml:space="preserve">184</t>
        </is>
      </c>
      <c r="M39" t="inlineStr">
        <is>
          <t xml:space="preserve">2025-07-18</t>
        </is>
      </c>
      <c r="N39" t="inlineStr">
        <is>
          <t xml:space="preserve">2026-01-17</t>
        </is>
      </c>
      <c r="O39" t="inlineStr">
        <is>
          <t xml:space="preserve"/>
        </is>
      </c>
      <c r="P39" t="inlineStr">
        <is>
          <t xml:space="preserve">1</t>
        </is>
      </c>
      <c r="Q39" t="inlineStr">
        <is>
          <t xml:space="preserve"/>
        </is>
      </c>
      <c r="R39" t="inlineStr">
        <is>
          <t xml:space="preserve"/>
        </is>
      </c>
      <c r="S39" s="3" t="str">
        <f>HYPERLINK("https://clinicaltrials.gov/study/NCT07056387","https://clinicaltrials.gov/study/NCT07056387")</f>
        <v>https://clinicaltrials.gov/study/NCT07056387</v>
      </c>
    </row>
    <row r="40">
      <c r="A40" t="inlineStr">
        <is>
          <t xml:space="preserve">2026-10-09</t>
        </is>
      </c>
      <c r="B40" t="inlineStr">
        <is>
          <t xml:space="preserve">updated</t>
        </is>
      </c>
      <c r="C40" t="inlineStr">
        <is>
          <t xml:space="preserve">NCT07868185</t>
        </is>
      </c>
      <c r="D40" t="inlineStr">
        <is>
          <t xml:space="preserve">Study of General Foetal Movements Using Ultrasound</t>
        </is>
      </c>
      <c r="E40" t="inlineStr">
        <is>
          <t xml:space="preserve">recruiting</t>
        </is>
      </c>
      <c r="F40" t="inlineStr">
        <is>
          <t xml:space="preserve"/>
        </is>
      </c>
      <c r="G40" t="inlineStr">
        <is>
          <t xml:space="preserve">Interventional</t>
        </is>
      </c>
      <c r="H40" t="inlineStr">
        <is>
          <t xml:space="preserve">Procedure</t>
        </is>
      </c>
      <c r="I40" t="inlineStr">
        <is>
          <t xml:space="preserve">External or endovaginal ultrasound</t>
        </is>
      </c>
      <c r="J40" t="inlineStr">
        <is>
          <t xml:space="preserve">François FARGES</t>
        </is>
      </c>
      <c r="K40" t="inlineStr">
        <is>
          <t xml:space="preserve">other</t>
        </is>
      </c>
      <c r="L40" t="inlineStr">
        <is>
          <t xml:space="preserve">75</t>
        </is>
      </c>
      <c r="M40" t="inlineStr">
        <is>
          <t xml:space="preserve">2023-02-14</t>
        </is>
      </c>
      <c r="N40" t="inlineStr">
        <is>
          <t xml:space="preserve">2027-02-14</t>
        </is>
      </c>
      <c r="O40" t="inlineStr">
        <is>
          <t xml:space="preserve"/>
        </is>
      </c>
      <c r="P40" t="inlineStr">
        <is>
          <t xml:space="preserve">1</t>
        </is>
      </c>
      <c r="Q40" t="inlineStr">
        <is>
          <t xml:space="preserve"/>
        </is>
      </c>
      <c r="R40" t="inlineStr">
        <is>
          <t xml:space="preserve"/>
        </is>
      </c>
      <c r="S40" s="3" t="str">
        <f>HYPERLINK("https://clinicaltrials.gov/study/NCT07868185","https://clinicaltrials.gov/study/NCT07868185")</f>
        <v>https://clinicaltrials.gov/study/NCT07868185</v>
      </c>
    </row>
    <row r="41">
      <c r="A41" t="inlineStr">
        <is>
          <t xml:space="preserve">2026-10-09</t>
        </is>
      </c>
      <c r="B41" t="inlineStr">
        <is>
          <t xml:space="preserve">updated</t>
        </is>
      </c>
      <c r="C41" t="inlineStr">
        <is>
          <t xml:space="preserve">NCT06060860</t>
        </is>
      </c>
      <c r="D41" t="inlineStr">
        <is>
          <t xml:space="preserve">Comparing Cognitive-Behavioral Therapy Versus Mindfulness-Based Therapy for Autistic Adults</t>
        </is>
      </c>
      <c r="E41" t="inlineStr">
        <is>
          <t xml:space="preserve">active not recruiting</t>
        </is>
      </c>
      <c r="F41" t="inlineStr">
        <is>
          <t xml:space="preserve"/>
        </is>
      </c>
      <c r="G41" t="inlineStr">
        <is>
          <t xml:space="preserve">Interventional</t>
        </is>
      </c>
      <c r="H41" t="inlineStr">
        <is>
          <t xml:space="preserve">Behavioral</t>
        </is>
      </c>
      <c r="I41" t="inlineStr">
        <is>
          <t xml:space="preserve">Cognitive-Behavioral Therapy (CBT); Mindfulness-Based Cognitive Therapy (MBCT)</t>
        </is>
      </c>
      <c r="J41" t="inlineStr">
        <is>
          <t xml:space="preserve">University of North Carolina, Chapel Hill</t>
        </is>
      </c>
      <c r="K41" t="inlineStr">
        <is>
          <t xml:space="preserve">other</t>
        </is>
      </c>
      <c r="L41" t="inlineStr">
        <is>
          <t xml:space="preserve">300</t>
        </is>
      </c>
      <c r="M41" t="inlineStr">
        <is>
          <t xml:space="preserve">2024-01-17</t>
        </is>
      </c>
      <c r="N41" t="inlineStr">
        <is>
          <t xml:space="preserve">2027-03-01</t>
        </is>
      </c>
      <c r="O41" t="inlineStr">
        <is>
          <t xml:space="preserve"/>
        </is>
      </c>
      <c r="P41" t="inlineStr">
        <is>
          <t xml:space="preserve">2</t>
        </is>
      </c>
      <c r="Q41" t="inlineStr">
        <is>
          <t xml:space="preserve">NC, VA</t>
        </is>
      </c>
      <c r="R41" t="inlineStr">
        <is>
          <t xml:space="preserve">Behavioral</t>
        </is>
      </c>
      <c r="S41" s="3" t="str">
        <f>HYPERLINK("https://clinicaltrials.gov/study/NCT06060860","https://clinicaltrials.gov/study/NCT06060860")</f>
        <v>https://clinicaltrials.gov/study/NCT06060860</v>
      </c>
    </row>
    <row r="42">
      <c r="A42" t="inlineStr">
        <is>
          <t xml:space="preserve">2026-10-09</t>
        </is>
      </c>
      <c r="B42" t="inlineStr">
        <is>
          <t xml:space="preserve">updated</t>
        </is>
      </c>
      <c r="C42" t="inlineStr">
        <is>
          <t xml:space="preserve">NCT07416903</t>
        </is>
      </c>
      <c r="D42" t="inlineStr">
        <is>
          <t xml:space="preserve">Multicomponent Group Parent Program Incorporating Naturalistic Teaching in Türkiye</t>
        </is>
      </c>
      <c r="E42" t="inlineStr">
        <is>
          <t xml:space="preserve">completed</t>
        </is>
      </c>
      <c r="F42" t="inlineStr">
        <is>
          <t xml:space="preserve"/>
        </is>
      </c>
      <c r="G42" t="inlineStr">
        <is>
          <t xml:space="preserve">Interventional</t>
        </is>
      </c>
      <c r="H42" t="inlineStr">
        <is>
          <t xml:space="preserve">Behavioral</t>
        </is>
      </c>
      <c r="I42" t="inlineStr">
        <is>
          <t xml:space="preserve">Multicomponent Group Parent Program Incorporating Naturalistic Teaching; General Parenting Comparison Seminar</t>
        </is>
      </c>
      <c r="J42" t="inlineStr">
        <is>
          <t xml:space="preserve">Kocaeli University</t>
        </is>
      </c>
      <c r="K42" t="inlineStr">
        <is>
          <t xml:space="preserve">other</t>
        </is>
      </c>
      <c r="L42" t="inlineStr">
        <is>
          <t xml:space="preserve">24</t>
        </is>
      </c>
      <c r="M42" t="inlineStr">
        <is>
          <t xml:space="preserve">2023-12-29</t>
        </is>
      </c>
      <c r="N42" t="inlineStr">
        <is>
          <t xml:space="preserve">2024-04-15</t>
        </is>
      </c>
      <c r="O42" t="inlineStr">
        <is>
          <t xml:space="preserve"/>
        </is>
      </c>
      <c r="P42" t="inlineStr">
        <is>
          <t xml:space="preserve">1</t>
        </is>
      </c>
      <c r="Q42" t="inlineStr">
        <is>
          <t xml:space="preserve"/>
        </is>
      </c>
      <c r="R42" t="inlineStr">
        <is>
          <t xml:space="preserve"/>
        </is>
      </c>
      <c r="S42" s="3" t="str">
        <f>HYPERLINK("https://clinicaltrials.gov/study/NCT07416903","https://clinicaltrials.gov/study/NCT07416903")</f>
        <v>https://clinicaltrials.gov/study/NCT07416903</v>
      </c>
    </row>
    <row r="43">
      <c r="A43" t="inlineStr">
        <is>
          <t xml:space="preserve">2026-10-09</t>
        </is>
      </c>
      <c r="B43" t="inlineStr">
        <is>
          <t xml:space="preserve">updated</t>
        </is>
      </c>
      <c r="C43" t="inlineStr">
        <is>
          <t xml:space="preserve">NCT04283045</t>
        </is>
      </c>
      <c r="D43" t="inlineStr">
        <is>
          <t xml:space="preserve">Community-based Adaptive Autism Intervention for Toddlers</t>
        </is>
      </c>
      <c r="E43" t="inlineStr">
        <is>
          <t xml:space="preserve">completed</t>
        </is>
      </c>
      <c r="F43" t="inlineStr">
        <is>
          <t xml:space="preserve"/>
        </is>
      </c>
      <c r="G43" t="inlineStr">
        <is>
          <t xml:space="preserve">Interventional</t>
        </is>
      </c>
      <c r="H43" t="inlineStr">
        <is>
          <t xml:space="preserve">Behavioral</t>
        </is>
      </c>
      <c r="I43" t="inlineStr">
        <is>
          <t xml:space="preserve">JASPER; JASPER Plus+</t>
        </is>
      </c>
      <c r="J43" t="inlineStr">
        <is>
          <t xml:space="preserve">University of California, Los Angeles</t>
        </is>
      </c>
      <c r="K43" t="inlineStr">
        <is>
          <t xml:space="preserve">other</t>
        </is>
      </c>
      <c r="L43" t="inlineStr">
        <is>
          <t xml:space="preserve">201</t>
        </is>
      </c>
      <c r="M43" t="inlineStr">
        <is>
          <t xml:space="preserve">2020-12-03</t>
        </is>
      </c>
      <c r="N43" t="inlineStr">
        <is>
          <t xml:space="preserve">2024-12-31</t>
        </is>
      </c>
      <c r="O43" t="inlineStr">
        <is>
          <t xml:space="preserve">yes</t>
        </is>
      </c>
      <c r="P43" t="inlineStr">
        <is>
          <t xml:space="preserve">1</t>
        </is>
      </c>
      <c r="Q43" t="inlineStr">
        <is>
          <t xml:space="preserve">NY</t>
        </is>
      </c>
      <c r="R43" t="inlineStr">
        <is>
          <t xml:space="preserve"/>
        </is>
      </c>
      <c r="S43" s="3" t="str">
        <f>HYPERLINK("https://clinicaltrials.gov/study/NCT04283045","https://clinicaltrials.gov/study/NCT04283045")</f>
        <v>https://clinicaltrials.gov/study/NCT04283045</v>
      </c>
    </row>
    <row r="44">
      <c r="A44" t="inlineStr">
        <is>
          <t xml:space="preserve">2026-10-09</t>
        </is>
      </c>
      <c r="B44" t="inlineStr">
        <is>
          <t xml:space="preserve">new study</t>
        </is>
      </c>
      <c r="C44" t="inlineStr">
        <is>
          <t xml:space="preserve">NCT07439510</t>
        </is>
      </c>
      <c r="D44" t="inlineStr">
        <is>
          <t xml:space="preserve">A Study to Investigate the Effects and Safety of Codabakalner for the Treatment of FXS in Male Participants and Adult Participants With ADS</t>
        </is>
      </c>
      <c r="E44" t="inlineStr">
        <is>
          <t xml:space="preserve">not yet recruiting</t>
        </is>
      </c>
      <c r="F44" t="inlineStr">
        <is>
          <t xml:space="preserve">PHASE2, PHASE3</t>
        </is>
      </c>
      <c r="G44" t="inlineStr">
        <is>
          <t xml:space="preserve">Interventional</t>
        </is>
      </c>
      <c r="H44" t="inlineStr">
        <is>
          <t xml:space="preserve">Drug</t>
        </is>
      </c>
      <c r="I44" t="inlineStr">
        <is>
          <t xml:space="preserve">Codabakalner; Placebo</t>
        </is>
      </c>
      <c r="J44" t="inlineStr">
        <is>
          <t xml:space="preserve">Spinogenix</t>
        </is>
      </c>
      <c r="K44" t="inlineStr">
        <is>
          <t xml:space="preserve">industry</t>
        </is>
      </c>
      <c r="L44" t="inlineStr">
        <is>
          <t xml:space="preserve">120</t>
        </is>
      </c>
      <c r="M44" t="inlineStr">
        <is>
          <t xml:space="preserve">2026-12-01</t>
        </is>
      </c>
      <c r="N44" t="inlineStr">
        <is>
          <t xml:space="preserve">2030-02-01</t>
        </is>
      </c>
      <c r="O44" t="inlineStr">
        <is>
          <t xml:space="preserve"/>
        </is>
      </c>
      <c r="P44" t="inlineStr">
        <is>
          <t xml:space="preserve"/>
        </is>
      </c>
      <c r="Q44" t="inlineStr">
        <is>
          <t xml:space="preserve"/>
        </is>
      </c>
      <c r="R44" t="inlineStr">
        <is>
          <t xml:space="preserve"/>
        </is>
      </c>
      <c r="S44" s="3" t="str">
        <f>HYPERLINK("https://clinicaltrials.gov/study/NCT07439510","https://clinicaltrials.gov/study/NCT07439510")</f>
        <v>https://clinicaltrials.gov/study/NCT07439510</v>
      </c>
    </row>
    <row r="45">
      <c r="A45" t="inlineStr">
        <is>
          <t xml:space="preserve">2026-10-08</t>
        </is>
      </c>
      <c r="B45" t="inlineStr">
        <is>
          <t xml:space="preserve">updated</t>
        </is>
      </c>
      <c r="C45" t="inlineStr">
        <is>
          <t xml:space="preserve">NCT07054866</t>
        </is>
      </c>
      <c r="D45" t="inlineStr">
        <is>
          <t xml:space="preserve">Rural Autistic Individuals - Supporting Expression</t>
        </is>
      </c>
      <c r="E45" t="inlineStr">
        <is>
          <t xml:space="preserve">recruiting</t>
        </is>
      </c>
      <c r="F45" t="inlineStr">
        <is>
          <t xml:space="preserve"/>
        </is>
      </c>
      <c r="G45" t="inlineStr">
        <is>
          <t xml:space="preserve">Interventional</t>
        </is>
      </c>
      <c r="H45" t="inlineStr">
        <is>
          <t xml:space="preserve">Behavioral</t>
        </is>
      </c>
      <c r="I45" t="inlineStr">
        <is>
          <t xml:space="preserve">Speech-Gesture combinations</t>
        </is>
      </c>
      <c r="J45" t="inlineStr">
        <is>
          <t xml:space="preserve">Montana State University</t>
        </is>
      </c>
      <c r="K45" t="inlineStr">
        <is>
          <t xml:space="preserve">other</t>
        </is>
      </c>
      <c r="L45" t="inlineStr">
        <is>
          <t xml:space="preserve">50</t>
        </is>
      </c>
      <c r="M45" t="inlineStr">
        <is>
          <t xml:space="preserve">2025-10-01</t>
        </is>
      </c>
      <c r="N45" t="inlineStr">
        <is>
          <t xml:space="preserve">2027-12</t>
        </is>
      </c>
      <c r="O45" t="inlineStr">
        <is>
          <t xml:space="preserve"/>
        </is>
      </c>
      <c r="P45" t="inlineStr">
        <is>
          <t xml:space="preserve">1</t>
        </is>
      </c>
      <c r="Q45" t="inlineStr">
        <is>
          <t xml:space="preserve">MT</t>
        </is>
      </c>
      <c r="R45" t="inlineStr">
        <is>
          <t xml:space="preserve"/>
        </is>
      </c>
      <c r="S45" s="3" t="str">
        <f>HYPERLINK("https://clinicaltrials.gov/study/NCT07054866","https://clinicaltrials.gov/study/NCT07054866")</f>
        <v>https://clinicaltrials.gov/study/NCT07054866</v>
      </c>
    </row>
    <row r="46">
      <c r="A46" t="inlineStr">
        <is>
          <t xml:space="preserve">2026-10-08</t>
        </is>
      </c>
      <c r="B46" t="inlineStr">
        <is>
          <t xml:space="preserve">updated</t>
        </is>
      </c>
      <c r="C46" t="inlineStr">
        <is>
          <t xml:space="preserve">NCT06291532</t>
        </is>
      </c>
      <c r="D46" t="inlineStr">
        <is>
          <t xml:space="preserve">Feasibility and Usability of a Virtual Reality System</t>
        </is>
      </c>
      <c r="E46" t="inlineStr">
        <is>
          <t xml:space="preserve">enrolling by invitation</t>
        </is>
      </c>
      <c r="F46" t="inlineStr">
        <is>
          <t xml:space="preserve"/>
        </is>
      </c>
      <c r="G46" t="inlineStr">
        <is>
          <t xml:space="preserve">Interventional</t>
        </is>
      </c>
      <c r="H46" t="inlineStr">
        <is>
          <t xml:space="preserve">Behavioral, Device</t>
        </is>
      </c>
      <c r="I46" t="inlineStr">
        <is>
          <t xml:space="preserve">Rehabilitation with VRRS; Conventional cognitive training</t>
        </is>
      </c>
      <c r="J46" t="inlineStr">
        <is>
          <t xml:space="preserve">IRCCS Centro Neurolesi Bonino Pulejo</t>
        </is>
      </c>
      <c r="K46" t="inlineStr">
        <is>
          <t xml:space="preserve">other</t>
        </is>
      </c>
      <c r="L46" t="inlineStr">
        <is>
          <t xml:space="preserve">100</t>
        </is>
      </c>
      <c r="M46" t="inlineStr">
        <is>
          <t xml:space="preserve">2023-04-01</t>
        </is>
      </c>
      <c r="N46" t="inlineStr">
        <is>
          <t xml:space="preserve">2025-09-30</t>
        </is>
      </c>
      <c r="O46" t="inlineStr">
        <is>
          <t xml:space="preserve"/>
        </is>
      </c>
      <c r="P46" t="inlineStr">
        <is>
          <t xml:space="preserve">1</t>
        </is>
      </c>
      <c r="Q46" t="inlineStr">
        <is>
          <t xml:space="preserve"/>
        </is>
      </c>
      <c r="R46" t="inlineStr">
        <is>
          <t xml:space="preserve">Device / stimulation</t>
        </is>
      </c>
      <c r="S46" s="3" t="str">
        <f>HYPERLINK("https://clinicaltrials.gov/study/NCT06291532","https://clinicaltrials.gov/study/NCT06291532")</f>
        <v>https://clinicaltrials.gov/study/NCT06291532</v>
      </c>
    </row>
    <row r="47">
      <c r="A47" t="inlineStr">
        <is>
          <t xml:space="preserve">2026-10-08</t>
        </is>
      </c>
      <c r="B47" t="inlineStr">
        <is>
          <t xml:space="preserve">updated</t>
        </is>
      </c>
      <c r="C47" t="inlineStr">
        <is>
          <t xml:space="preserve">NCT01031407</t>
        </is>
      </c>
      <c r="D47" t="inlineStr">
        <is>
          <t xml:space="preserve">Cognitive Neuroscience of Autism Spectrum Disorders</t>
        </is>
      </c>
      <c r="E47" t="inlineStr">
        <is>
          <t xml:space="preserve">completed</t>
        </is>
      </c>
      <c r="F47" t="inlineStr">
        <is>
          <t xml:space="preserve"/>
        </is>
      </c>
      <c r="G47" t="inlineStr">
        <is>
          <t xml:space="preserve">Observational</t>
        </is>
      </c>
      <c r="H47" t="inlineStr">
        <is>
          <t xml:space="preserve"/>
        </is>
      </c>
      <c r="I47" t="inlineStr">
        <is>
          <t xml:space="preserve"/>
        </is>
      </c>
      <c r="J47" t="inlineStr">
        <is>
          <t xml:space="preserve">National Institute of Mental Health (NIMH)</t>
        </is>
      </c>
      <c r="K47" t="inlineStr">
        <is>
          <t xml:space="preserve">nih</t>
        </is>
      </c>
      <c r="L47" t="inlineStr">
        <is>
          <t xml:space="preserve">678</t>
        </is>
      </c>
      <c r="M47" t="inlineStr">
        <is>
          <t xml:space="preserve">2010-02-21</t>
        </is>
      </c>
      <c r="N47" t="inlineStr">
        <is>
          <t xml:space="preserve"/>
        </is>
      </c>
      <c r="O47" t="inlineStr">
        <is>
          <t xml:space="preserve"/>
        </is>
      </c>
      <c r="P47" t="inlineStr">
        <is>
          <t xml:space="preserve">1</t>
        </is>
      </c>
      <c r="Q47" t="inlineStr">
        <is>
          <t xml:space="preserve">MD</t>
        </is>
      </c>
      <c r="R47" t="inlineStr">
        <is>
          <t xml:space="preserve"/>
        </is>
      </c>
      <c r="S47" s="3" t="str">
        <f>HYPERLINK("https://clinicaltrials.gov/study/NCT01031407","https://clinicaltrials.gov/study/NCT01031407")</f>
        <v>https://clinicaltrials.gov/study/NCT01031407</v>
      </c>
    </row>
    <row r="48">
      <c r="A48" t="inlineStr">
        <is>
          <t xml:space="preserve">2026-10-08</t>
        </is>
      </c>
      <c r="B48" t="inlineStr">
        <is>
          <t xml:space="preserve">updated</t>
        </is>
      </c>
      <c r="C48" t="inlineStr">
        <is>
          <t xml:space="preserve">NCT07435740</t>
        </is>
      </c>
      <c r="D48" t="inlineStr">
        <is>
          <t xml:space="preserve">Parent-Mediated Telehealth Intervention for Insomnia in Young Autistic Children</t>
        </is>
      </c>
      <c r="E48" t="inlineStr">
        <is>
          <t xml:space="preserve">recruiting</t>
        </is>
      </c>
      <c r="F48" t="inlineStr">
        <is>
          <t xml:space="preserve"/>
        </is>
      </c>
      <c r="G48" t="inlineStr">
        <is>
          <t xml:space="preserve">Interventional</t>
        </is>
      </c>
      <c r="H48" t="inlineStr">
        <is>
          <t xml:space="preserve">Behavioral</t>
        </is>
      </c>
      <c r="I48" t="inlineStr">
        <is>
          <t xml:space="preserve">Sleep Parent Training (SPT); Sleep Parent Education (SPE)</t>
        </is>
      </c>
      <c r="J48" t="inlineStr">
        <is>
          <t xml:space="preserve">The Cleveland Clinic</t>
        </is>
      </c>
      <c r="K48" t="inlineStr">
        <is>
          <t xml:space="preserve">other</t>
        </is>
      </c>
      <c r="L48" t="inlineStr">
        <is>
          <t xml:space="preserve">130</t>
        </is>
      </c>
      <c r="M48" t="inlineStr">
        <is>
          <t xml:space="preserve">2026-06-05</t>
        </is>
      </c>
      <c r="N48" t="inlineStr">
        <is>
          <t xml:space="preserve">2031-01</t>
        </is>
      </c>
      <c r="O48" t="inlineStr">
        <is>
          <t xml:space="preserve"/>
        </is>
      </c>
      <c r="P48" t="inlineStr">
        <is>
          <t xml:space="preserve">3</t>
        </is>
      </c>
      <c r="Q48" t="inlineStr">
        <is>
          <t xml:space="preserve">OH</t>
        </is>
      </c>
      <c r="R48" t="inlineStr">
        <is>
          <t xml:space="preserve">Behavioral</t>
        </is>
      </c>
      <c r="S48" s="3" t="str">
        <f>HYPERLINK("https://clinicaltrials.gov/study/NCT07435740","https://clinicaltrials.gov/study/NCT07435740")</f>
        <v>https://clinicaltrials.gov/study/NCT07435740</v>
      </c>
    </row>
    <row r="49">
      <c r="A49" t="inlineStr">
        <is>
          <t xml:space="preserve">2026-10-07</t>
        </is>
      </c>
      <c r="B49" t="inlineStr">
        <is>
          <t xml:space="preserve">updated</t>
        </is>
      </c>
      <c r="C49" t="inlineStr">
        <is>
          <t xml:space="preserve">NCT07076264</t>
        </is>
      </c>
      <c r="D49" t="inlineStr">
        <is>
          <t xml:space="preserve">Water Competency Intervention in Autism</t>
        </is>
      </c>
      <c r="E49" t="inlineStr">
        <is>
          <t xml:space="preserve">recruiting</t>
        </is>
      </c>
      <c r="F49" t="inlineStr">
        <is>
          <t xml:space="preserve"/>
        </is>
      </c>
      <c r="G49" t="inlineStr">
        <is>
          <t xml:space="preserve">Interventional</t>
        </is>
      </c>
      <c r="H49" t="inlineStr">
        <is>
          <t xml:space="preserve">Other</t>
        </is>
      </c>
      <c r="I49" t="inlineStr">
        <is>
          <t xml:space="preserve">AquOTic</t>
        </is>
      </c>
      <c r="J49" t="inlineStr">
        <is>
          <t xml:space="preserve">Ohio State University</t>
        </is>
      </c>
      <c r="K49" t="inlineStr">
        <is>
          <t xml:space="preserve">other</t>
        </is>
      </c>
      <c r="L49" t="inlineStr">
        <is>
          <t xml:space="preserve">108</t>
        </is>
      </c>
      <c r="M49" t="inlineStr">
        <is>
          <t xml:space="preserve">2025-09-19</t>
        </is>
      </c>
      <c r="N49" t="inlineStr">
        <is>
          <t xml:space="preserve">2029-04</t>
        </is>
      </c>
      <c r="O49" t="inlineStr">
        <is>
          <t xml:space="preserve"/>
        </is>
      </c>
      <c r="P49" t="inlineStr">
        <is>
          <t xml:space="preserve">1</t>
        </is>
      </c>
      <c r="Q49" t="inlineStr">
        <is>
          <t xml:space="preserve">OH</t>
        </is>
      </c>
      <c r="R49" t="inlineStr">
        <is>
          <t xml:space="preserve"/>
        </is>
      </c>
      <c r="S49" s="3" t="str">
        <f>HYPERLINK("https://clinicaltrials.gov/study/NCT07076264","https://clinicaltrials.gov/study/NCT07076264")</f>
        <v>https://clinicaltrials.gov/study/NCT07076264</v>
      </c>
    </row>
    <row r="50">
      <c r="A50" t="inlineStr">
        <is>
          <t xml:space="preserve">2026-10-07</t>
        </is>
      </c>
      <c r="B50" t="inlineStr">
        <is>
          <t xml:space="preserve">updated</t>
        </is>
      </c>
      <c r="C50" t="inlineStr">
        <is>
          <t xml:space="preserve">NCT06234501</t>
        </is>
      </c>
      <c r="D50" t="inlineStr">
        <is>
          <t xml:space="preserve">Testing the Efficacy of 100mg Vitamin-B6 Daily for Sensory Reactivity in Autism</t>
        </is>
      </c>
      <c r="E50" t="inlineStr">
        <is>
          <t xml:space="preserve">recruiting</t>
        </is>
      </c>
      <c r="F50" t="inlineStr">
        <is>
          <t xml:space="preserve"/>
        </is>
      </c>
      <c r="G50" t="inlineStr">
        <is>
          <t xml:space="preserve">Interventional</t>
        </is>
      </c>
      <c r="H50" t="inlineStr">
        <is>
          <t xml:space="preserve">Dietary_Supplement, Other</t>
        </is>
      </c>
      <c r="I50" t="inlineStr">
        <is>
          <t xml:space="preserve">Pyridoxal 5'-Phosphate (100 mg); Placebo</t>
        </is>
      </c>
      <c r="J50" t="inlineStr">
        <is>
          <t xml:space="preserve">University of Reading</t>
        </is>
      </c>
      <c r="K50" t="inlineStr">
        <is>
          <t xml:space="preserve">other</t>
        </is>
      </c>
      <c r="L50" t="inlineStr">
        <is>
          <t xml:space="preserve">40</t>
        </is>
      </c>
      <c r="M50" t="inlineStr">
        <is>
          <t xml:space="preserve">2024-11-08</t>
        </is>
      </c>
      <c r="N50" t="inlineStr">
        <is>
          <t xml:space="preserve">2026-11-13</t>
        </is>
      </c>
      <c r="O50" t="inlineStr">
        <is>
          <t xml:space="preserve"/>
        </is>
      </c>
      <c r="P50" t="inlineStr">
        <is>
          <t xml:space="preserve">1</t>
        </is>
      </c>
      <c r="Q50" t="inlineStr">
        <is>
          <t xml:space="preserve"/>
        </is>
      </c>
      <c r="R50" t="inlineStr">
        <is>
          <t xml:space="preserve"/>
        </is>
      </c>
      <c r="S50" s="3" t="str">
        <f>HYPERLINK("https://clinicaltrials.gov/study/NCT06234501","https://clinicaltrials.gov/study/NCT06234501")</f>
        <v>https://clinicaltrials.gov/study/NCT06234501</v>
      </c>
    </row>
    <row r="51">
      <c r="A51" t="inlineStr">
        <is>
          <t xml:space="preserve">2026-10-07</t>
        </is>
      </c>
      <c r="B51" t="inlineStr">
        <is>
          <t xml:space="preserve">updated</t>
        </is>
      </c>
      <c r="C51" t="inlineStr">
        <is>
          <t xml:space="preserve">NCT07863752</t>
        </is>
      </c>
      <c r="D51" t="inlineStr">
        <is>
          <t xml:space="preserve">Mindfulness-Based Intervention for Parents of Autistic Children in Pakistan</t>
        </is>
      </c>
      <c r="E51" t="inlineStr">
        <is>
          <t xml:space="preserve">completed</t>
        </is>
      </c>
      <c r="F51" t="inlineStr">
        <is>
          <t xml:space="preserve"/>
        </is>
      </c>
      <c r="G51" t="inlineStr">
        <is>
          <t xml:space="preserve">Interventional</t>
        </is>
      </c>
      <c r="H51" t="inlineStr">
        <is>
          <t xml:space="preserve">Behavioral</t>
        </is>
      </c>
      <c r="I51" t="inlineStr">
        <is>
          <t xml:space="preserve">Stronger Together Mindfulness-Based Intervention; Psychoeducation Program</t>
        </is>
      </c>
      <c r="J51" t="inlineStr">
        <is>
          <t xml:space="preserve">Northeast Normal University</t>
        </is>
      </c>
      <c r="K51" t="inlineStr">
        <is>
          <t xml:space="preserve">other</t>
        </is>
      </c>
      <c r="L51" t="inlineStr">
        <is>
          <t xml:space="preserve">68</t>
        </is>
      </c>
      <c r="M51" t="inlineStr">
        <is>
          <t xml:space="preserve">2026-05-01</t>
        </is>
      </c>
      <c r="N51" t="inlineStr">
        <is>
          <t xml:space="preserve">2026-08-05</t>
        </is>
      </c>
      <c r="O51" t="inlineStr">
        <is>
          <t xml:space="preserve"/>
        </is>
      </c>
      <c r="P51" t="inlineStr">
        <is>
          <t xml:space="preserve">1</t>
        </is>
      </c>
      <c r="Q51" t="inlineStr">
        <is>
          <t xml:space="preserve"/>
        </is>
      </c>
      <c r="R51" t="inlineStr">
        <is>
          <t xml:space="preserve">Behavioral</t>
        </is>
      </c>
      <c r="S51" s="3" t="str">
        <f>HYPERLINK("https://clinicaltrials.gov/study/NCT07863752","https://clinicaltrials.gov/study/NCT07863752")</f>
        <v>https://clinicaltrials.gov/study/NCT07863752</v>
      </c>
    </row>
    <row r="52">
      <c r="A52" t="inlineStr">
        <is>
          <t xml:space="preserve">2026-10-06</t>
        </is>
      </c>
      <c r="B52" t="inlineStr">
        <is>
          <t xml:space="preserve">updated</t>
        </is>
      </c>
      <c r="C52" t="inlineStr">
        <is>
          <t xml:space="preserve">NCT03718923</t>
        </is>
      </c>
      <c r="D52" t="inlineStr">
        <is>
          <t xml:space="preserve">FOXP1 Syndrome: The Seaver Autism Center for Research and Treatment is Characterizing FOXP1-related Neurodevelopmental Disorders Using Genetic, Medical, and Neuropsychological Measures.</t>
        </is>
      </c>
      <c r="E52" t="inlineStr">
        <is>
          <t xml:space="preserve">recruiting</t>
        </is>
      </c>
      <c r="F52" t="inlineStr">
        <is>
          <t xml:space="preserve"/>
        </is>
      </c>
      <c r="G52" t="inlineStr">
        <is>
          <t xml:space="preserve">Observational</t>
        </is>
      </c>
      <c r="H52" t="inlineStr">
        <is>
          <t xml:space="preserve"/>
        </is>
      </c>
      <c r="I52" t="inlineStr">
        <is>
          <t xml:space="preserve"/>
        </is>
      </c>
      <c r="J52" t="inlineStr">
        <is>
          <t xml:space="preserve">Icahn School of Medicine at Mount Sinai</t>
        </is>
      </c>
      <c r="K52" t="inlineStr">
        <is>
          <t xml:space="preserve">other</t>
        </is>
      </c>
      <c r="L52" t="inlineStr">
        <is>
          <t xml:space="preserve">50</t>
        </is>
      </c>
      <c r="M52" t="inlineStr">
        <is>
          <t xml:space="preserve">2016-03-28</t>
        </is>
      </c>
      <c r="N52" t="inlineStr">
        <is>
          <t xml:space="preserve">2028-05</t>
        </is>
      </c>
      <c r="O52" t="inlineStr">
        <is>
          <t xml:space="preserve"/>
        </is>
      </c>
      <c r="P52" t="inlineStr">
        <is>
          <t xml:space="preserve">1</t>
        </is>
      </c>
      <c r="Q52" t="inlineStr">
        <is>
          <t xml:space="preserve">NY</t>
        </is>
      </c>
      <c r="R52" t="inlineStr">
        <is>
          <t xml:space="preserve"/>
        </is>
      </c>
      <c r="S52" s="3" t="str">
        <f>HYPERLINK("https://clinicaltrials.gov/study/NCT03718923","https://clinicaltrials.gov/study/NCT03718923")</f>
        <v>https://clinicaltrials.gov/study/NCT03718923</v>
      </c>
    </row>
    <row r="53">
      <c r="A53" t="inlineStr">
        <is>
          <t xml:space="preserve">2026-10-06</t>
        </is>
      </c>
      <c r="B53" t="inlineStr">
        <is>
          <t xml:space="preserve">new study</t>
        </is>
      </c>
      <c r="C53" t="inlineStr">
        <is>
          <t xml:space="preserve">NCT07859696</t>
        </is>
      </c>
      <c r="D53" t="inlineStr">
        <is>
          <t xml:space="preserve">Effectiveness of Interactive Techniques on Oral Hygiene Skills in a Group of Autistic Egyptian Children</t>
        </is>
      </c>
      <c r="E53" t="inlineStr">
        <is>
          <t xml:space="preserve">not yet recruiting</t>
        </is>
      </c>
      <c r="F53" t="inlineStr">
        <is>
          <t xml:space="preserve"/>
        </is>
      </c>
      <c r="G53" t="inlineStr">
        <is>
          <t xml:space="preserve">Interventional</t>
        </is>
      </c>
      <c r="H53" t="inlineStr">
        <is>
          <t xml:space="preserve">Other, Procedure</t>
        </is>
      </c>
      <c r="I53" t="inlineStr">
        <is>
          <t xml:space="preserve">Peer model; Pre-recorded video of peer modeling; Pedagogical method</t>
        </is>
      </c>
      <c r="J53" t="inlineStr">
        <is>
          <t xml:space="preserve">Faculty of Dental Medicine for Girls</t>
        </is>
      </c>
      <c r="K53" t="inlineStr">
        <is>
          <t xml:space="preserve">other gov</t>
        </is>
      </c>
      <c r="L53" t="inlineStr">
        <is>
          <t xml:space="preserve">90</t>
        </is>
      </c>
      <c r="M53" t="inlineStr">
        <is>
          <t xml:space="preserve">2027-02</t>
        </is>
      </c>
      <c r="N53" t="inlineStr">
        <is>
          <t xml:space="preserve">2027-07</t>
        </is>
      </c>
      <c r="O53" t="inlineStr">
        <is>
          <t xml:space="preserve"/>
        </is>
      </c>
      <c r="P53" t="inlineStr">
        <is>
          <t xml:space="preserve"/>
        </is>
      </c>
      <c r="Q53" t="inlineStr">
        <is>
          <t xml:space="preserve"/>
        </is>
      </c>
      <c r="R53" t="inlineStr">
        <is>
          <t xml:space="preserve"/>
        </is>
      </c>
      <c r="S53" s="3" t="str">
        <f>HYPERLINK("https://clinicaltrials.gov/study/NCT07859696","https://clinicaltrials.gov/study/NCT07859696")</f>
        <v>https://clinicaltrials.gov/study/NCT07859696</v>
      </c>
    </row>
    <row r="54">
      <c r="A54" t="inlineStr">
        <is>
          <t xml:space="preserve">2026-10-06</t>
        </is>
      </c>
      <c r="B54" t="inlineStr">
        <is>
          <t xml:space="preserve">updated</t>
        </is>
      </c>
      <c r="C54" t="inlineStr">
        <is>
          <t xml:space="preserve">NCT05307744</t>
        </is>
      </c>
      <c r="D54" t="inlineStr">
        <is>
          <t xml:space="preserve">Effects of Lactobacillus Plantarum PS128 in Children With ASD</t>
        </is>
      </c>
      <c r="E54" t="inlineStr">
        <is>
          <t xml:space="preserve">terminated</t>
        </is>
      </c>
      <c r="F54" t="inlineStr">
        <is>
          <t xml:space="preserve"/>
        </is>
      </c>
      <c r="G54" t="inlineStr">
        <is>
          <t xml:space="preserve">Interventional</t>
        </is>
      </c>
      <c r="H54" t="inlineStr">
        <is>
          <t xml:space="preserve">Dietary_Supplement, Other</t>
        </is>
      </c>
      <c r="I54" t="inlineStr">
        <is>
          <t xml:space="preserve">PS128; Placebo</t>
        </is>
      </c>
      <c r="J54" t="inlineStr">
        <is>
          <t xml:space="preserve">Chang Gung Memorial Hospital</t>
        </is>
      </c>
      <c r="K54" t="inlineStr">
        <is>
          <t xml:space="preserve">other</t>
        </is>
      </c>
      <c r="L54" t="inlineStr">
        <is>
          <t xml:space="preserve">41</t>
        </is>
      </c>
      <c r="M54" t="inlineStr">
        <is>
          <t xml:space="preserve">2022-07-15</t>
        </is>
      </c>
      <c r="N54" t="inlineStr">
        <is>
          <t xml:space="preserve">2024-04-03</t>
        </is>
      </c>
      <c r="O54" t="inlineStr">
        <is>
          <t xml:space="preserve">yes</t>
        </is>
      </c>
      <c r="P54" t="inlineStr">
        <is>
          <t xml:space="preserve">1</t>
        </is>
      </c>
      <c r="Q54" t="inlineStr">
        <is>
          <t xml:space="preserve"/>
        </is>
      </c>
      <c r="R54" t="inlineStr">
        <is>
          <t xml:space="preserve"/>
        </is>
      </c>
      <c r="S54" s="3" t="str">
        <f>HYPERLINK("https://clinicaltrials.gov/study/NCT05307744","https://clinicaltrials.gov/study/NCT05307744")</f>
        <v>https://clinicaltrials.gov/study/NCT05307744</v>
      </c>
    </row>
    <row r="55">
      <c r="A55" t="inlineStr">
        <is>
          <t xml:space="preserve">2026-10-06</t>
        </is>
      </c>
      <c r="B55" t="inlineStr">
        <is>
          <t xml:space="preserve">updated</t>
        </is>
      </c>
      <c r="C55" t="inlineStr">
        <is>
          <t xml:space="preserve">NCT06659328</t>
        </is>
      </c>
      <c r="D55" t="inlineStr">
        <is>
          <t xml:space="preserve">Influence of Rhythm and Interpersonal Relationship on Gait Parameters in Children With Autism Spectrum Disorder</t>
        </is>
      </c>
      <c r="E55" t="inlineStr">
        <is>
          <t xml:space="preserve">completed</t>
        </is>
      </c>
      <c r="F55" t="inlineStr">
        <is>
          <t xml:space="preserve"/>
        </is>
      </c>
      <c r="G55" t="inlineStr">
        <is>
          <t xml:space="preserve">Interventional</t>
        </is>
      </c>
      <c r="H55" t="inlineStr">
        <is>
          <t xml:space="preserve">Procedure</t>
        </is>
      </c>
      <c r="I55" t="inlineStr">
        <is>
          <t xml:space="preserve">Structured Walking Intervention for Children with Autism Spectrum Disorder.</t>
        </is>
      </c>
      <c r="J55" t="inlineStr">
        <is>
          <t xml:space="preserve">Universidad Europea de Madrid</t>
        </is>
      </c>
      <c r="K55" t="inlineStr">
        <is>
          <t xml:space="preserve">other</t>
        </is>
      </c>
      <c r="L55" t="inlineStr">
        <is>
          <t xml:space="preserve">30</t>
        </is>
      </c>
      <c r="M55" t="inlineStr">
        <is>
          <t xml:space="preserve">2024-02-01</t>
        </is>
      </c>
      <c r="N55" t="inlineStr">
        <is>
          <t xml:space="preserve">2024-05-31</t>
        </is>
      </c>
      <c r="O55" t="inlineStr">
        <is>
          <t xml:space="preserve"/>
        </is>
      </c>
      <c r="P55" t="inlineStr">
        <is>
          <t xml:space="preserve">1</t>
        </is>
      </c>
      <c r="Q55" t="inlineStr">
        <is>
          <t xml:space="preserve"/>
        </is>
      </c>
      <c r="R55" t="inlineStr">
        <is>
          <t xml:space="preserve"/>
        </is>
      </c>
      <c r="S55" s="3" t="str">
        <f>HYPERLINK("https://clinicaltrials.gov/study/NCT06659328","https://clinicaltrials.gov/study/NCT06659328")</f>
        <v>https://clinicaltrials.gov/study/NCT06659328</v>
      </c>
    </row>
    <row r="56">
      <c r="A56" t="inlineStr">
        <is>
          <t xml:space="preserve">2026-10-05</t>
        </is>
      </c>
      <c r="B56" t="inlineStr">
        <is>
          <t xml:space="preserve">updated</t>
        </is>
      </c>
      <c r="C56" t="inlineStr">
        <is>
          <t xml:space="preserve">NCT07859306</t>
        </is>
      </c>
      <c r="D56" t="inlineStr">
        <is>
          <t xml:space="preserve">Evaluating the Feasibility of Collecting User Interaction Data at the Emory Autism Center Using MapHabit Software</t>
        </is>
      </c>
      <c r="E56" t="inlineStr">
        <is>
          <t xml:space="preserve">not yet recruiting</t>
        </is>
      </c>
      <c r="F56" t="inlineStr">
        <is>
          <t xml:space="preserve"/>
        </is>
      </c>
      <c r="G56" t="inlineStr">
        <is>
          <t xml:space="preserve">Interventional</t>
        </is>
      </c>
      <c r="H56" t="inlineStr">
        <is>
          <t xml:space="preserve">Behavioral</t>
        </is>
      </c>
      <c r="I56" t="inlineStr">
        <is>
          <t xml:space="preserve">MapHabit System (MHS)</t>
        </is>
      </c>
      <c r="J56" t="inlineStr">
        <is>
          <t xml:space="preserve">Emory University</t>
        </is>
      </c>
      <c r="K56" t="inlineStr">
        <is>
          <t xml:space="preserve">other</t>
        </is>
      </c>
      <c r="L56" t="inlineStr">
        <is>
          <t xml:space="preserve">140</t>
        </is>
      </c>
      <c r="M56" t="inlineStr">
        <is>
          <t xml:space="preserve">2026-09</t>
        </is>
      </c>
      <c r="N56" t="inlineStr">
        <is>
          <t xml:space="preserve">2027-09</t>
        </is>
      </c>
      <c r="O56" t="inlineStr">
        <is>
          <t xml:space="preserve"/>
        </is>
      </c>
      <c r="P56" t="inlineStr">
        <is>
          <t xml:space="preserve">1</t>
        </is>
      </c>
      <c r="Q56" t="inlineStr">
        <is>
          <t xml:space="preserve">GA</t>
        </is>
      </c>
      <c r="R56" t="inlineStr">
        <is>
          <t xml:space="preserve"/>
        </is>
      </c>
      <c r="S56" s="3" t="str">
        <f>HYPERLINK("https://clinicaltrials.gov/study/NCT07859306","https://clinicaltrials.gov/study/NCT07859306")</f>
        <v>https://clinicaltrials.gov/study/NCT07859306</v>
      </c>
    </row>
    <row r="57">
      <c r="A57" t="inlineStr">
        <is>
          <t xml:space="preserve">2026-10-05</t>
        </is>
      </c>
      <c r="B57" t="inlineStr">
        <is>
          <t xml:space="preserve">new study</t>
        </is>
      </c>
      <c r="C57" t="inlineStr">
        <is>
          <t xml:space="preserve">NCT07859345</t>
        </is>
      </c>
      <c r="D57" t="inlineStr">
        <is>
          <t xml:space="preserve">Effects of Virtual Reality-Based Interventions on Fine Motor and Activities of Daily Living Skills in Children Aged 5-10 Years With Autism Spectrum Disorder</t>
        </is>
      </c>
      <c r="E57" t="inlineStr">
        <is>
          <t xml:space="preserve">not yet recruiting</t>
        </is>
      </c>
      <c r="F57" t="inlineStr">
        <is>
          <t xml:space="preserve"/>
        </is>
      </c>
      <c r="G57" t="inlineStr">
        <is>
          <t xml:space="preserve">Interventional</t>
        </is>
      </c>
      <c r="H57" t="inlineStr">
        <is>
          <t xml:space="preserve">Behavioral</t>
        </is>
      </c>
      <c r="I57" t="inlineStr">
        <is>
          <t xml:space="preserve">Leap Motion-Based Virtual Reality Intervention</t>
        </is>
      </c>
      <c r="J57" t="inlineStr">
        <is>
          <t xml:space="preserve">Beyza Asli Bilsel</t>
        </is>
      </c>
      <c r="K57" t="inlineStr">
        <is>
          <t xml:space="preserve">other</t>
        </is>
      </c>
      <c r="L57" t="inlineStr">
        <is>
          <t xml:space="preserve">20</t>
        </is>
      </c>
      <c r="M57" t="inlineStr">
        <is>
          <t xml:space="preserve">2026-10-01</t>
        </is>
      </c>
      <c r="N57" t="inlineStr">
        <is>
          <t xml:space="preserve">2026-10-01</t>
        </is>
      </c>
      <c r="O57" t="inlineStr">
        <is>
          <t xml:space="preserve"/>
        </is>
      </c>
      <c r="P57" t="inlineStr">
        <is>
          <t xml:space="preserve"/>
        </is>
      </c>
      <c r="Q57" t="inlineStr">
        <is>
          <t xml:space="preserve"/>
        </is>
      </c>
      <c r="R57" t="inlineStr">
        <is>
          <t xml:space="preserve"/>
        </is>
      </c>
      <c r="S57" s="3" t="str">
        <f>HYPERLINK("https://clinicaltrials.gov/study/NCT07859345","https://clinicaltrials.gov/study/NCT07859345")</f>
        <v>https://clinicaltrials.gov/study/NCT07859345</v>
      </c>
    </row>
    <row r="58">
      <c r="A58" t="inlineStr">
        <is>
          <t xml:space="preserve">2026-10-05</t>
        </is>
      </c>
      <c r="B58" t="inlineStr">
        <is>
          <t xml:space="preserve">updated</t>
        </is>
      </c>
      <c r="C58" t="inlineStr">
        <is>
          <t xml:space="preserve">NCT07856927</t>
        </is>
      </c>
      <c r="D58" t="inlineStr">
        <is>
          <t xml:space="preserve">To Share or Not To Share: Navigating Disclosure and Stigma Among Family Caregivers of Autistic Young Adults_Group Intervention</t>
        </is>
      </c>
      <c r="E58" t="inlineStr">
        <is>
          <t xml:space="preserve">recruiting</t>
        </is>
      </c>
      <c r="F58" t="inlineStr">
        <is>
          <t xml:space="preserve"/>
        </is>
      </c>
      <c r="G58" t="inlineStr">
        <is>
          <t xml:space="preserve">Interventional</t>
        </is>
      </c>
      <c r="H58" t="inlineStr">
        <is>
          <t xml:space="preserve">Other</t>
        </is>
      </c>
      <c r="I58" t="inlineStr">
        <is>
          <t xml:space="preserve">Group Intervention</t>
        </is>
      </c>
      <c r="J58" t="inlineStr">
        <is>
          <t xml:space="preserve">University of Wisconsin, Madison</t>
        </is>
      </c>
      <c r="K58" t="inlineStr">
        <is>
          <t xml:space="preserve">other</t>
        </is>
      </c>
      <c r="L58" t="inlineStr">
        <is>
          <t xml:space="preserve">50</t>
        </is>
      </c>
      <c r="M58" t="inlineStr">
        <is>
          <t xml:space="preserve">2026-09-17</t>
        </is>
      </c>
      <c r="N58" t="inlineStr">
        <is>
          <t xml:space="preserve">2027-06</t>
        </is>
      </c>
      <c r="O58" t="inlineStr">
        <is>
          <t xml:space="preserve"/>
        </is>
      </c>
      <c r="P58" t="inlineStr">
        <is>
          <t xml:space="preserve">1</t>
        </is>
      </c>
      <c r="Q58" t="inlineStr">
        <is>
          <t xml:space="preserve">WI</t>
        </is>
      </c>
      <c r="R58" t="inlineStr">
        <is>
          <t xml:space="preserve"/>
        </is>
      </c>
      <c r="S58" s="3" t="str">
        <f>HYPERLINK("https://clinicaltrials.gov/study/NCT07856927","https://clinicaltrials.gov/study/NCT07856927")</f>
        <v>https://clinicaltrials.gov/study/NCT07856927</v>
      </c>
    </row>
    <row r="59">
      <c r="A59" t="inlineStr">
        <is>
          <t xml:space="preserve">2026-10-05</t>
        </is>
      </c>
      <c r="B59" t="inlineStr">
        <is>
          <t xml:space="preserve">updated</t>
        </is>
      </c>
      <c r="C59" t="inlineStr">
        <is>
          <t xml:space="preserve">NCT07375043</t>
        </is>
      </c>
      <c r="D59" t="inlineStr">
        <is>
          <t xml:space="preserve">Drumming Groups for Parents of Autistic Children</t>
        </is>
      </c>
      <c r="E59" t="inlineStr">
        <is>
          <t xml:space="preserve">completed</t>
        </is>
      </c>
      <c r="F59" t="inlineStr">
        <is>
          <t xml:space="preserve"/>
        </is>
      </c>
      <c r="G59" t="inlineStr">
        <is>
          <t xml:space="preserve">Interventional</t>
        </is>
      </c>
      <c r="H59" t="inlineStr">
        <is>
          <t xml:space="preserve">Behavioral</t>
        </is>
      </c>
      <c r="I59" t="inlineStr">
        <is>
          <t xml:space="preserve">Group Drumming</t>
        </is>
      </c>
      <c r="J59" t="inlineStr">
        <is>
          <t xml:space="preserve">Arizona State University</t>
        </is>
      </c>
      <c r="K59" t="inlineStr">
        <is>
          <t xml:space="preserve">other</t>
        </is>
      </c>
      <c r="L59" t="inlineStr">
        <is>
          <t xml:space="preserve">9</t>
        </is>
      </c>
      <c r="M59" t="inlineStr">
        <is>
          <t xml:space="preserve">2026-03-31</t>
        </is>
      </c>
      <c r="N59" t="inlineStr">
        <is>
          <t xml:space="preserve">2026-07-01</t>
        </is>
      </c>
      <c r="O59" t="inlineStr">
        <is>
          <t xml:space="preserve"/>
        </is>
      </c>
      <c r="P59" t="inlineStr">
        <is>
          <t xml:space="preserve">1</t>
        </is>
      </c>
      <c r="Q59" t="inlineStr">
        <is>
          <t xml:space="preserve">AZ</t>
        </is>
      </c>
      <c r="R59" t="inlineStr">
        <is>
          <t xml:space="preserve"/>
        </is>
      </c>
      <c r="S59" s="3" t="str">
        <f>HYPERLINK("https://clinicaltrials.gov/study/NCT07375043","https://clinicaltrials.gov/study/NCT07375043")</f>
        <v>https://clinicaltrials.gov/study/NCT07375043</v>
      </c>
    </row>
    <row r="60">
      <c r="A60" t="inlineStr">
        <is>
          <t xml:space="preserve">2026-10-05</t>
        </is>
      </c>
      <c r="B60" t="inlineStr">
        <is>
          <t xml:space="preserve">updated</t>
        </is>
      </c>
      <c r="C60" t="inlineStr">
        <is>
          <t xml:space="preserve">NCT06933342</t>
        </is>
      </c>
      <c r="D60" t="inlineStr">
        <is>
          <t xml:space="preserve">ASD and Habituation to Dental Examination</t>
        </is>
      </c>
      <c r="E60" t="inlineStr">
        <is>
          <t xml:space="preserve">recruiting</t>
        </is>
      </c>
      <c r="F60" t="inlineStr">
        <is>
          <t xml:space="preserve"/>
        </is>
      </c>
      <c r="G60" t="inlineStr">
        <is>
          <t xml:space="preserve">Interventional</t>
        </is>
      </c>
      <c r="H60" t="inlineStr">
        <is>
          <t xml:space="preserve">Behavioral</t>
        </is>
      </c>
      <c r="I60" t="inlineStr">
        <is>
          <t xml:space="preserve">Habituation to dental examination; Preparations at home</t>
        </is>
      </c>
      <c r="J60" t="inlineStr">
        <is>
          <t xml:space="preserve">Oral Health Center of Expertise Rogaland, Norway</t>
        </is>
      </c>
      <c r="K60" t="inlineStr">
        <is>
          <t xml:space="preserve">other</t>
        </is>
      </c>
      <c r="L60" t="inlineStr">
        <is>
          <t xml:space="preserve">225</t>
        </is>
      </c>
      <c r="M60" t="inlineStr">
        <is>
          <t xml:space="preserve">2025-06-01</t>
        </is>
      </c>
      <c r="N60" t="inlineStr">
        <is>
          <t xml:space="preserve">2026-12</t>
        </is>
      </c>
      <c r="O60" t="inlineStr">
        <is>
          <t xml:space="preserve"/>
        </is>
      </c>
      <c r="P60" t="inlineStr">
        <is>
          <t xml:space="preserve">2</t>
        </is>
      </c>
      <c r="Q60" t="inlineStr">
        <is>
          <t xml:space="preserve"/>
        </is>
      </c>
      <c r="R60" t="inlineStr">
        <is>
          <t xml:space="preserve"/>
        </is>
      </c>
      <c r="S60" s="3" t="str">
        <f>HYPERLINK("https://clinicaltrials.gov/study/NCT06933342","https://clinicaltrials.gov/study/NCT06933342")</f>
        <v>https://clinicaltrials.gov/study/NCT06933342</v>
      </c>
    </row>
    <row r="61">
      <c r="A61" t="inlineStr">
        <is>
          <t xml:space="preserve">2026-10-05</t>
        </is>
      </c>
      <c r="B61" t="inlineStr">
        <is>
          <t xml:space="preserve">new study</t>
        </is>
      </c>
      <c r="C61" t="inlineStr">
        <is>
          <t xml:space="preserve">NCT07858617</t>
        </is>
      </c>
      <c r="D61" t="inlineStr">
        <is>
          <t xml:space="preserve">Relation Between Autistic Features and Fine Motor Abilities in Children With Autism Spectrum Disorder</t>
        </is>
      </c>
      <c r="E61" t="inlineStr">
        <is>
          <t xml:space="preserve">not yet recruiting</t>
        </is>
      </c>
      <c r="F61" t="inlineStr">
        <is>
          <t xml:space="preserve"/>
        </is>
      </c>
      <c r="G61" t="inlineStr">
        <is>
          <t xml:space="preserve">Observational</t>
        </is>
      </c>
      <c r="H61" t="inlineStr">
        <is>
          <t xml:space="preserve">Other</t>
        </is>
      </c>
      <c r="I61" t="inlineStr">
        <is>
          <t xml:space="preserve">assessment</t>
        </is>
      </c>
      <c r="J61" t="inlineStr">
        <is>
          <t xml:space="preserve">Cairo University</t>
        </is>
      </c>
      <c r="K61" t="inlineStr">
        <is>
          <t xml:space="preserve">other</t>
        </is>
      </c>
      <c r="L61" t="inlineStr">
        <is>
          <t xml:space="preserve">80</t>
        </is>
      </c>
      <c r="M61" t="inlineStr">
        <is>
          <t xml:space="preserve">2026-11-01</t>
        </is>
      </c>
      <c r="N61" t="inlineStr">
        <is>
          <t xml:space="preserve">2027-04-30</t>
        </is>
      </c>
      <c r="O61" t="inlineStr">
        <is>
          <t xml:space="preserve"/>
        </is>
      </c>
      <c r="P61" t="inlineStr">
        <is>
          <t xml:space="preserve"/>
        </is>
      </c>
      <c r="Q61" t="inlineStr">
        <is>
          <t xml:space="preserve"/>
        </is>
      </c>
      <c r="R61" t="inlineStr">
        <is>
          <t xml:space="preserve"/>
        </is>
      </c>
      <c r="S61" s="3" t="str">
        <f>HYPERLINK("https://clinicaltrials.gov/study/NCT07858617","https://clinicaltrials.gov/study/NCT07858617")</f>
        <v>https://clinicaltrials.gov/study/NCT07858617</v>
      </c>
    </row>
    <row r="62">
      <c r="A62" t="inlineStr">
        <is>
          <t xml:space="preserve">2026-10-05</t>
        </is>
      </c>
      <c r="B62" t="inlineStr">
        <is>
          <t xml:space="preserve">updated</t>
        </is>
      </c>
      <c r="C62" t="inlineStr">
        <is>
          <t xml:space="preserve">NCT04903353</t>
        </is>
      </c>
      <c r="D62" t="inlineStr">
        <is>
          <t xml:space="preserve">Pragmatic Trial Comparing Weight Gain in Children With Autism Taking Risperidone Versus Aripiprazole</t>
        </is>
      </c>
      <c r="E62" t="inlineStr">
        <is>
          <t xml:space="preserve">completed</t>
        </is>
      </c>
      <c r="F62" t="inlineStr">
        <is>
          <t xml:space="preserve">PHASE4</t>
        </is>
      </c>
      <c r="G62" t="inlineStr">
        <is>
          <t xml:space="preserve">Interventional</t>
        </is>
      </c>
      <c r="H62" t="inlineStr">
        <is>
          <t xml:space="preserve">Drug</t>
        </is>
      </c>
      <c r="I62" t="inlineStr">
        <is>
          <t xml:space="preserve">Comparison of Risperidone and Aripiprazole</t>
        </is>
      </c>
      <c r="J62" t="inlineStr">
        <is>
          <t xml:space="preserve">Vanderbilt University Medical Center</t>
        </is>
      </c>
      <c r="K62" t="inlineStr">
        <is>
          <t xml:space="preserve">other</t>
        </is>
      </c>
      <c r="L62" t="inlineStr">
        <is>
          <t xml:space="preserve">30</t>
        </is>
      </c>
      <c r="M62" t="inlineStr">
        <is>
          <t xml:space="preserve">2022-02-01</t>
        </is>
      </c>
      <c r="N62" t="inlineStr">
        <is>
          <t xml:space="preserve">2025-12-01</t>
        </is>
      </c>
      <c r="O62" t="inlineStr">
        <is>
          <t xml:space="preserve"/>
        </is>
      </c>
      <c r="P62" t="inlineStr">
        <is>
          <t xml:space="preserve">1</t>
        </is>
      </c>
      <c r="Q62" t="inlineStr">
        <is>
          <t xml:space="preserve">TN</t>
        </is>
      </c>
      <c r="R62" t="inlineStr">
        <is>
          <t xml:space="preserve">Small molecule</t>
        </is>
      </c>
      <c r="S62" s="3" t="str">
        <f>HYPERLINK("https://clinicaltrials.gov/study/NCT04903353","https://clinicaltrials.gov/study/NCT04903353")</f>
        <v>https://clinicaltrials.gov/study/NCT04903353</v>
      </c>
    </row>
    <row r="63">
      <c r="A63" t="inlineStr">
        <is>
          <t xml:space="preserve">2026-10-05</t>
        </is>
      </c>
      <c r="B63" t="inlineStr">
        <is>
          <t xml:space="preserve">new study</t>
        </is>
      </c>
      <c r="C63" t="inlineStr">
        <is>
          <t xml:space="preserve">NCT07858383</t>
        </is>
      </c>
      <c r="D63" t="inlineStr">
        <is>
          <t xml:space="preserve">Development and Evaluation of a Parent-led Intervention Module for Early Autism Spectrum Disorder (PRIME-ASD) in Odisha, India: Protocol for a Multiphase Mixed-methods Study Including an Open-label Randomised Controlled Trial</t>
        </is>
      </c>
      <c r="E63" t="inlineStr">
        <is>
          <t xml:space="preserve">not yet recruiting</t>
        </is>
      </c>
      <c r="F63" t="inlineStr">
        <is>
          <t xml:space="preserve"/>
        </is>
      </c>
      <c r="G63" t="inlineStr">
        <is>
          <t xml:space="preserve">Interventional</t>
        </is>
      </c>
      <c r="H63" t="inlineStr">
        <is>
          <t xml:space="preserve">Behavioral</t>
        </is>
      </c>
      <c r="I63" t="inlineStr">
        <is>
          <t xml:space="preserve">Behavioral: PRIME-ASD (Parent-led Intervention Module for Early Autism Spectrum Disorder); Behavioral: PRIME-ASD; Other: Treatment as usual</t>
        </is>
      </c>
      <c r="J63" t="inlineStr">
        <is>
          <t xml:space="preserve">All India Institute of Medical Sciences, Bhubaneswar</t>
        </is>
      </c>
      <c r="K63" t="inlineStr">
        <is>
          <t xml:space="preserve">other</t>
        </is>
      </c>
      <c r="L63" t="inlineStr">
        <is>
          <t xml:space="preserve">188</t>
        </is>
      </c>
      <c r="M63" t="inlineStr">
        <is>
          <t xml:space="preserve">2027-01-15</t>
        </is>
      </c>
      <c r="N63" t="inlineStr">
        <is>
          <t xml:space="preserve">2027-12-14</t>
        </is>
      </c>
      <c r="O63" t="inlineStr">
        <is>
          <t xml:space="preserve"/>
        </is>
      </c>
      <c r="P63" t="inlineStr">
        <is>
          <t xml:space="preserve"/>
        </is>
      </c>
      <c r="Q63" t="inlineStr">
        <is>
          <t xml:space="preserve"/>
        </is>
      </c>
      <c r="R63" t="inlineStr">
        <is>
          <t xml:space="preserve"/>
        </is>
      </c>
      <c r="S63" s="3" t="str">
        <f>HYPERLINK("https://clinicaltrials.gov/study/NCT07858383","https://clinicaltrials.gov/study/NCT07858383")</f>
        <v>https://clinicaltrials.gov/study/NCT07858383</v>
      </c>
    </row>
    <row r="64">
      <c r="A64" t="inlineStr">
        <is>
          <t xml:space="preserve">2026-10-02</t>
        </is>
      </c>
      <c r="B64" t="inlineStr">
        <is>
          <t xml:space="preserve">updated</t>
        </is>
      </c>
      <c r="C64" t="inlineStr">
        <is>
          <t xml:space="preserve">NCT06850948</t>
        </is>
      </c>
      <c r="D64" t="inlineStr">
        <is>
          <t xml:space="preserve">Experiences of Healthcare for Autistic TGD Adults</t>
        </is>
      </c>
      <c r="E64" t="inlineStr">
        <is>
          <t xml:space="preserve">completed</t>
        </is>
      </c>
      <c r="F64" t="inlineStr">
        <is>
          <t xml:space="preserve"/>
        </is>
      </c>
      <c r="G64" t="inlineStr">
        <is>
          <t xml:space="preserve">Observational</t>
        </is>
      </c>
      <c r="H64" t="inlineStr">
        <is>
          <t xml:space="preserve">Other</t>
        </is>
      </c>
      <c r="I64" t="inlineStr">
        <is>
          <t xml:space="preserve">Qualitative</t>
        </is>
      </c>
      <c r="J64" t="inlineStr">
        <is>
          <t xml:space="preserve">University of Nottingham</t>
        </is>
      </c>
      <c r="K64" t="inlineStr">
        <is>
          <t xml:space="preserve">other</t>
        </is>
      </c>
      <c r="L64" t="inlineStr">
        <is>
          <t xml:space="preserve">13</t>
        </is>
      </c>
      <c r="M64" t="inlineStr">
        <is>
          <t xml:space="preserve">2025-07-22</t>
        </is>
      </c>
      <c r="N64" t="inlineStr">
        <is>
          <t xml:space="preserve">2026-09-11</t>
        </is>
      </c>
      <c r="O64" t="inlineStr">
        <is>
          <t xml:space="preserve"/>
        </is>
      </c>
      <c r="P64" t="inlineStr">
        <is>
          <t xml:space="preserve">1</t>
        </is>
      </c>
      <c r="Q64" t="inlineStr">
        <is>
          <t xml:space="preserve"/>
        </is>
      </c>
      <c r="R64" t="inlineStr">
        <is>
          <t xml:space="preserve"/>
        </is>
      </c>
      <c r="S64" s="3" t="str">
        <f>HYPERLINK("https://clinicaltrials.gov/study/NCT06850948","https://clinicaltrials.gov/study/NCT06850948")</f>
        <v>https://clinicaltrials.gov/study/NCT06850948</v>
      </c>
    </row>
    <row r="65">
      <c r="A65" t="inlineStr">
        <is>
          <t xml:space="preserve">2026-10-02</t>
        </is>
      </c>
      <c r="B65" t="inlineStr">
        <is>
          <t xml:space="preserve">updated</t>
        </is>
      </c>
      <c r="C65" t="inlineStr">
        <is>
          <t xml:space="preserve">NCT05846932</t>
        </is>
      </c>
      <c r="D65" t="inlineStr">
        <is>
          <t xml:space="preserve">Preliminary Efficacy of Occupational Therapy Integrating Horses on Self-regulation in Youth With Autism</t>
        </is>
      </c>
      <c r="E65" t="inlineStr">
        <is>
          <t xml:space="preserve">completed</t>
        </is>
      </c>
      <c r="F65" t="inlineStr">
        <is>
          <t xml:space="preserve"/>
        </is>
      </c>
      <c r="G65" t="inlineStr">
        <is>
          <t xml:space="preserve">Interventional</t>
        </is>
      </c>
      <c r="H65" t="inlineStr">
        <is>
          <t xml:space="preserve">Behavioral</t>
        </is>
      </c>
      <c r="I65" t="inlineStr">
        <is>
          <t xml:space="preserve">OTEE HORS; OT Clinic</t>
        </is>
      </c>
      <c r="J65" t="inlineStr">
        <is>
          <t xml:space="preserve">Colorado State University</t>
        </is>
      </c>
      <c r="K65" t="inlineStr">
        <is>
          <t xml:space="preserve">other</t>
        </is>
      </c>
      <c r="L65" t="inlineStr">
        <is>
          <t xml:space="preserve">72</t>
        </is>
      </c>
      <c r="M65" t="inlineStr">
        <is>
          <t xml:space="preserve">2023-03-21</t>
        </is>
      </c>
      <c r="N65" t="inlineStr">
        <is>
          <t xml:space="preserve">2025-04-23</t>
        </is>
      </c>
      <c r="O65" t="inlineStr">
        <is>
          <t xml:space="preserve">yes</t>
        </is>
      </c>
      <c r="P65" t="inlineStr">
        <is>
          <t xml:space="preserve">1</t>
        </is>
      </c>
      <c r="Q65" t="inlineStr">
        <is>
          <t xml:space="preserve">CO</t>
        </is>
      </c>
      <c r="R65" t="inlineStr">
        <is>
          <t xml:space="preserve">Behavioral</t>
        </is>
      </c>
      <c r="S65" s="3" t="str">
        <f>HYPERLINK("https://clinicaltrials.gov/study/NCT05846932","https://clinicaltrials.gov/study/NCT05846932")</f>
        <v>https://clinicaltrials.gov/study/NCT05846932</v>
      </c>
    </row>
    <row r="66">
      <c r="A66" t="inlineStr">
        <is>
          <t xml:space="preserve">2026-10-02</t>
        </is>
      </c>
      <c r="B66" t="inlineStr">
        <is>
          <t xml:space="preserve">updated</t>
        </is>
      </c>
      <c r="C66" t="inlineStr">
        <is>
          <t xml:space="preserve">NCT06537128</t>
        </is>
      </c>
      <c r="D66" t="inlineStr">
        <is>
          <t xml:space="preserve">Internet-delivered Cognitive-Behavioral Therapy for Adolescents With Autism and Anxiety</t>
        </is>
      </c>
      <c r="E66" t="inlineStr">
        <is>
          <t xml:space="preserve">active not recruiting</t>
        </is>
      </c>
      <c r="F66" t="inlineStr">
        <is>
          <t xml:space="preserve"/>
        </is>
      </c>
      <c r="G66" t="inlineStr">
        <is>
          <t xml:space="preserve">Interventional</t>
        </is>
      </c>
      <c r="H66" t="inlineStr">
        <is>
          <t xml:space="preserve">Behavioral</t>
        </is>
      </c>
      <c r="I66" t="inlineStr">
        <is>
          <t xml:space="preserve">LUNA-Adolescent; Treatment as Usual</t>
        </is>
      </c>
      <c r="J66" t="inlineStr">
        <is>
          <t xml:space="preserve">Baylor College of Medicine</t>
        </is>
      </c>
      <c r="K66" t="inlineStr">
        <is>
          <t xml:space="preserve">other</t>
        </is>
      </c>
      <c r="L66" t="inlineStr">
        <is>
          <t xml:space="preserve">139</t>
        </is>
      </c>
      <c r="M66" t="inlineStr">
        <is>
          <t xml:space="preserve">2024-11-01</t>
        </is>
      </c>
      <c r="N66" t="inlineStr">
        <is>
          <t xml:space="preserve">2026-03-31</t>
        </is>
      </c>
      <c r="O66" t="inlineStr">
        <is>
          <t xml:space="preserve"/>
        </is>
      </c>
      <c r="P66" t="inlineStr">
        <is>
          <t xml:space="preserve">1</t>
        </is>
      </c>
      <c r="Q66" t="inlineStr">
        <is>
          <t xml:space="preserve">TX</t>
        </is>
      </c>
      <c r="R66" t="inlineStr">
        <is>
          <t xml:space="preserve">Behavioral</t>
        </is>
      </c>
      <c r="S66" s="3" t="str">
        <f>HYPERLINK("https://clinicaltrials.gov/study/NCT06537128","https://clinicaltrials.gov/study/NCT06537128")</f>
        <v>https://clinicaltrials.gov/study/NCT06537128</v>
      </c>
    </row>
    <row r="67">
      <c r="A67" t="inlineStr">
        <is>
          <t xml:space="preserve">2026-10-02</t>
        </is>
      </c>
      <c r="B67" t="inlineStr">
        <is>
          <t xml:space="preserve">updated</t>
        </is>
      </c>
      <c r="C67" t="inlineStr">
        <is>
          <t xml:space="preserve">NCT06391684</t>
        </is>
      </c>
      <c r="D67" t="inlineStr">
        <is>
          <t xml:space="preserve">Flexibility and the Predictive Brain in Autistic Males and Females</t>
        </is>
      </c>
      <c r="E67" t="inlineStr">
        <is>
          <t xml:space="preserve">recruiting</t>
        </is>
      </c>
      <c r="F67" t="inlineStr">
        <is>
          <t xml:space="preserve"/>
        </is>
      </c>
      <c r="G67" t="inlineStr">
        <is>
          <t xml:space="preserve">Observational</t>
        </is>
      </c>
      <c r="H67" t="inlineStr">
        <is>
          <t xml:space="preserve">Behavioral</t>
        </is>
      </c>
      <c r="I67" t="inlineStr">
        <is>
          <t xml:space="preserve">Social/non social; predictable vs unpredictable</t>
        </is>
      </c>
      <c r="J67" t="inlineStr">
        <is>
          <t xml:space="preserve">University Hospital, Grenoble</t>
        </is>
      </c>
      <c r="K67" t="inlineStr">
        <is>
          <t xml:space="preserve">other</t>
        </is>
      </c>
      <c r="L67" t="inlineStr">
        <is>
          <t xml:space="preserve">40</t>
        </is>
      </c>
      <c r="M67" t="inlineStr">
        <is>
          <t xml:space="preserve">2025-02-21</t>
        </is>
      </c>
      <c r="N67" t="inlineStr">
        <is>
          <t xml:space="preserve">2029-04-20</t>
        </is>
      </c>
      <c r="O67" t="inlineStr">
        <is>
          <t xml:space="preserve"/>
        </is>
      </c>
      <c r="P67" t="inlineStr">
        <is>
          <t xml:space="preserve">1</t>
        </is>
      </c>
      <c r="Q67" t="inlineStr">
        <is>
          <t xml:space="preserve"/>
        </is>
      </c>
      <c r="R67" t="inlineStr">
        <is>
          <t xml:space="preserve"/>
        </is>
      </c>
      <c r="S67" s="3" t="str">
        <f>HYPERLINK("https://clinicaltrials.gov/study/NCT06391684","https://clinicaltrials.gov/study/NCT06391684")</f>
        <v>https://clinicaltrials.gov/study/NCT06391684</v>
      </c>
    </row>
    <row r="68">
      <c r="A68" t="inlineStr">
        <is>
          <t xml:space="preserve">2026-10-02</t>
        </is>
      </c>
      <c r="B68" t="inlineStr">
        <is>
          <t xml:space="preserve">updated</t>
        </is>
      </c>
      <c r="C68" t="inlineStr">
        <is>
          <t xml:space="preserve">NCT02769949</t>
        </is>
      </c>
      <c r="D68" t="inlineStr">
        <is>
          <t xml:space="preserve">Pediatric Patients With Metabolic or Other Genetic Disorders</t>
        </is>
      </c>
      <c r="E68" t="inlineStr">
        <is>
          <t xml:space="preserve">completed</t>
        </is>
      </c>
      <c r="F68" t="inlineStr">
        <is>
          <t xml:space="preserve"/>
        </is>
      </c>
      <c r="G68" t="inlineStr">
        <is>
          <t xml:space="preserve">Observational</t>
        </is>
      </c>
      <c r="H68" t="inlineStr">
        <is>
          <t xml:space="preserve"/>
        </is>
      </c>
      <c r="I68" t="inlineStr">
        <is>
          <t xml:space="preserve"/>
        </is>
      </c>
      <c r="J68" t="inlineStr">
        <is>
          <t xml:space="preserve">Eunice Kennedy Shriver National Institute of Child Health and Human Development (NICHD)</t>
        </is>
      </c>
      <c r="K68" t="inlineStr">
        <is>
          <t xml:space="preserve">nih</t>
        </is>
      </c>
      <c r="L68" t="inlineStr">
        <is>
          <t xml:space="preserve">96</t>
        </is>
      </c>
      <c r="M68" t="inlineStr">
        <is>
          <t xml:space="preserve">2016-05-03</t>
        </is>
      </c>
      <c r="N68" t="inlineStr">
        <is>
          <t xml:space="preserve">2025-07-08</t>
        </is>
      </c>
      <c r="O68" t="inlineStr">
        <is>
          <t xml:space="preserve"/>
        </is>
      </c>
      <c r="P68" t="inlineStr">
        <is>
          <t xml:space="preserve">1</t>
        </is>
      </c>
      <c r="Q68" t="inlineStr">
        <is>
          <t xml:space="preserve">MD</t>
        </is>
      </c>
      <c r="R68" t="inlineStr">
        <is>
          <t xml:space="preserve"/>
        </is>
      </c>
      <c r="S68" s="3" t="str">
        <f>HYPERLINK("https://clinicaltrials.gov/study/NCT02769949","https://clinicaltrials.gov/study/NCT02769949")</f>
        <v>https://clinicaltrials.gov/study/NCT02769949</v>
      </c>
    </row>
    <row r="69">
      <c r="A69" t="inlineStr">
        <is>
          <t xml:space="preserve">2026-10-01</t>
        </is>
      </c>
      <c r="B69" t="inlineStr">
        <is>
          <t xml:space="preserve">updated</t>
        </is>
      </c>
      <c r="C69" t="inlineStr">
        <is>
          <t xml:space="preserve">NCT07851272</t>
        </is>
      </c>
      <c r="D69" t="inlineStr">
        <is>
          <t xml:space="preserve">Internal Versus External Attentional Focus in Gross- and Fine-Motor Learning Among Children With Autism Requiring Ongoing Everyday Support</t>
        </is>
      </c>
      <c r="E69" t="inlineStr">
        <is>
          <t xml:space="preserve">completed</t>
        </is>
      </c>
      <c r="F69" t="inlineStr">
        <is>
          <t xml:space="preserve"/>
        </is>
      </c>
      <c r="G69" t="inlineStr">
        <is>
          <t xml:space="preserve">Interventional</t>
        </is>
      </c>
      <c r="H69" t="inlineStr">
        <is>
          <t xml:space="preserve">Behavioral</t>
        </is>
      </c>
      <c r="I69" t="inlineStr">
        <is>
          <t xml:space="preserve">External Focus of Attention Instructions; Internal Focus of Attention Instructions</t>
        </is>
      </c>
      <c r="J69" t="inlineStr">
        <is>
          <t xml:space="preserve">University of Haifa</t>
        </is>
      </c>
      <c r="K69" t="inlineStr">
        <is>
          <t xml:space="preserve">other</t>
        </is>
      </c>
      <c r="L69" t="inlineStr">
        <is>
          <t xml:space="preserve">10</t>
        </is>
      </c>
      <c r="M69" t="inlineStr">
        <is>
          <t xml:space="preserve">2023-09-21</t>
        </is>
      </c>
      <c r="N69" t="inlineStr">
        <is>
          <t xml:space="preserve">2025-04-20</t>
        </is>
      </c>
      <c r="O69" t="inlineStr">
        <is>
          <t xml:space="preserve"/>
        </is>
      </c>
      <c r="P69" t="inlineStr">
        <is>
          <t xml:space="preserve">1</t>
        </is>
      </c>
      <c r="Q69" t="inlineStr">
        <is>
          <t xml:space="preserve"/>
        </is>
      </c>
      <c r="R69" t="inlineStr">
        <is>
          <t xml:space="preserve"/>
        </is>
      </c>
      <c r="S69" s="3" t="str">
        <f>HYPERLINK("https://clinicaltrials.gov/study/NCT07851272","https://clinicaltrials.gov/study/NCT07851272")</f>
        <v>https://clinicaltrials.gov/study/NCT07851272</v>
      </c>
    </row>
    <row r="70">
      <c r="A70" t="inlineStr">
        <is>
          <t xml:space="preserve">2026-10-01</t>
        </is>
      </c>
      <c r="B70" t="inlineStr">
        <is>
          <t xml:space="preserve">updated</t>
        </is>
      </c>
      <c r="C70" t="inlineStr">
        <is>
          <t xml:space="preserve">NCT05998382</t>
        </is>
      </c>
      <c r="D70" t="inlineStr">
        <is>
          <t xml:space="preserve">The Effect of Parent Mediated Intervention Program on Children With ASD Exposed to Earthquake in Turkey in February 2023</t>
        </is>
      </c>
      <c r="E70" t="inlineStr">
        <is>
          <t xml:space="preserve">completed</t>
        </is>
      </c>
      <c r="F70" t="inlineStr">
        <is>
          <t xml:space="preserve"/>
        </is>
      </c>
      <c r="G70" t="inlineStr">
        <is>
          <t xml:space="preserve">Interventional</t>
        </is>
      </c>
      <c r="H70" t="inlineStr">
        <is>
          <t xml:space="preserve">Behavioral</t>
        </is>
      </c>
      <c r="I70" t="inlineStr">
        <is>
          <t xml:space="preserve">Online group-based parent-mediated intervention program</t>
        </is>
      </c>
      <c r="J70" t="inlineStr">
        <is>
          <t xml:space="preserve">Sabri Hergüner</t>
        </is>
      </c>
      <c r="K70" t="inlineStr">
        <is>
          <t xml:space="preserve">other</t>
        </is>
      </c>
      <c r="L70" t="inlineStr">
        <is>
          <t xml:space="preserve">57</t>
        </is>
      </c>
      <c r="M70" t="inlineStr">
        <is>
          <t xml:space="preserve">2023-10-01</t>
        </is>
      </c>
      <c r="N70" t="inlineStr">
        <is>
          <t xml:space="preserve">2023-12-31</t>
        </is>
      </c>
      <c r="O70" t="inlineStr">
        <is>
          <t xml:space="preserve"/>
        </is>
      </c>
      <c r="P70" t="inlineStr">
        <is>
          <t xml:space="preserve">1</t>
        </is>
      </c>
      <c r="Q70" t="inlineStr">
        <is>
          <t xml:space="preserve"/>
        </is>
      </c>
      <c r="R70" t="inlineStr">
        <is>
          <t xml:space="preserve">Behavioral</t>
        </is>
      </c>
      <c r="S70" s="3" t="str">
        <f>HYPERLINK("https://clinicaltrials.gov/study/NCT05998382","https://clinicaltrials.gov/study/NCT05998382")</f>
        <v>https://clinicaltrials.gov/study/NCT05998382</v>
      </c>
    </row>
    <row r="71">
      <c r="A71" t="inlineStr">
        <is>
          <t xml:space="preserve">2026-09-30</t>
        </is>
      </c>
      <c r="B71" t="inlineStr">
        <is>
          <t xml:space="preserve">new study</t>
        </is>
      </c>
      <c r="C71" t="inlineStr">
        <is>
          <t xml:space="preserve">NCT07845253</t>
        </is>
      </c>
      <c r="D71" t="inlineStr">
        <is>
          <t xml:space="preserve">Effect of Limosilactobacillus Reuteri on Social Deficits in Children With Autistic Spectrum Disorder</t>
        </is>
      </c>
      <c r="E71" t="inlineStr">
        <is>
          <t xml:space="preserve">not yet recruiting</t>
        </is>
      </c>
      <c r="F71" t="inlineStr">
        <is>
          <t xml:space="preserve"/>
        </is>
      </c>
      <c r="G71" t="inlineStr">
        <is>
          <t xml:space="preserve">Interventional</t>
        </is>
      </c>
      <c r="H71" t="inlineStr">
        <is>
          <t xml:space="preserve">Dietary_Supplement</t>
        </is>
      </c>
      <c r="I71" t="inlineStr">
        <is>
          <t xml:space="preserve">Probiotics; Placebo</t>
        </is>
      </c>
      <c r="J71" t="inlineStr">
        <is>
          <t xml:space="preserve">BioGaia AB</t>
        </is>
      </c>
      <c r="K71" t="inlineStr">
        <is>
          <t xml:space="preserve">industry</t>
        </is>
      </c>
      <c r="L71" t="inlineStr">
        <is>
          <t xml:space="preserve">200</t>
        </is>
      </c>
      <c r="M71" t="inlineStr">
        <is>
          <t xml:space="preserve">2026-10-15</t>
        </is>
      </c>
      <c r="N71" t="inlineStr">
        <is>
          <t xml:space="preserve">2027-10-31</t>
        </is>
      </c>
      <c r="O71" t="inlineStr">
        <is>
          <t xml:space="preserve"/>
        </is>
      </c>
      <c r="P71" t="inlineStr">
        <is>
          <t xml:space="preserve">1</t>
        </is>
      </c>
      <c r="Q71" t="inlineStr">
        <is>
          <t xml:space="preserve"/>
        </is>
      </c>
      <c r="R71" t="inlineStr">
        <is>
          <t xml:space="preserve"/>
        </is>
      </c>
      <c r="S71" s="3" t="str">
        <f>HYPERLINK("https://clinicaltrials.gov/study/NCT07845253","https://clinicaltrials.gov/study/NCT07845253")</f>
        <v>https://clinicaltrials.gov/study/NCT07845253</v>
      </c>
    </row>
    <row r="72">
      <c r="A72" t="inlineStr">
        <is>
          <t xml:space="preserve">2026-09-30</t>
        </is>
      </c>
      <c r="B72" t="inlineStr">
        <is>
          <t xml:space="preserve">new study</t>
        </is>
      </c>
      <c r="C72" t="inlineStr">
        <is>
          <t xml:space="preserve">NCT07257939</t>
        </is>
      </c>
      <c r="D72" t="inlineStr">
        <is>
          <t xml:space="preserve">NTI164 in Autism Spectrum Disorder</t>
        </is>
      </c>
      <c r="E72" t="inlineStr">
        <is>
          <t xml:space="preserve">not yet recruiting</t>
        </is>
      </c>
      <c r="F72" t="inlineStr">
        <is>
          <t xml:space="preserve">PHASE3</t>
        </is>
      </c>
      <c r="G72" t="inlineStr">
        <is>
          <t xml:space="preserve">Interventional</t>
        </is>
      </c>
      <c r="H72" t="inlineStr">
        <is>
          <t xml:space="preserve">Drug</t>
        </is>
      </c>
      <c r="I72" t="inlineStr">
        <is>
          <t xml:space="preserve">NTI164; Placebo</t>
        </is>
      </c>
      <c r="J72" t="inlineStr">
        <is>
          <t xml:space="preserve">Fenix Innovation Group</t>
        </is>
      </c>
      <c r="K72" t="inlineStr">
        <is>
          <t xml:space="preserve">industry</t>
        </is>
      </c>
      <c r="L72" t="inlineStr">
        <is>
          <t xml:space="preserve">200</t>
        </is>
      </c>
      <c r="M72" t="inlineStr">
        <is>
          <t xml:space="preserve">2026-09-30</t>
        </is>
      </c>
      <c r="N72" t="inlineStr">
        <is>
          <t xml:space="preserve">2029-07-01</t>
        </is>
      </c>
      <c r="O72" t="inlineStr">
        <is>
          <t xml:space="preserve"/>
        </is>
      </c>
      <c r="P72" t="inlineStr">
        <is>
          <t xml:space="preserve">3</t>
        </is>
      </c>
      <c r="Q72" t="inlineStr">
        <is>
          <t xml:space="preserve"/>
        </is>
      </c>
      <c r="R72" t="inlineStr">
        <is>
          <t xml:space="preserve"/>
        </is>
      </c>
      <c r="S72" s="3" t="str">
        <f>HYPERLINK("https://clinicaltrials.gov/study/NCT07257939","https://clinicaltrials.gov/study/NCT07257939")</f>
        <v>https://clinicaltrials.gov/study/NCT07257939</v>
      </c>
    </row>
    <row r="73">
      <c r="A73" t="inlineStr">
        <is>
          <t xml:space="preserve">2026-09-30</t>
        </is>
      </c>
      <c r="B73" t="inlineStr">
        <is>
          <t xml:space="preserve">updated</t>
        </is>
      </c>
      <c r="C73" t="inlineStr">
        <is>
          <t xml:space="preserve">NCT07579000</t>
        </is>
      </c>
      <c r="D73" t="inlineStr">
        <is>
          <t xml:space="preserve">SPARK Exercise Program and Game-based Training in Children With Autism Spectrum Disorder</t>
        </is>
      </c>
      <c r="E73" t="inlineStr">
        <is>
          <t xml:space="preserve">completed</t>
        </is>
      </c>
      <c r="F73" t="inlineStr">
        <is>
          <t xml:space="preserve"/>
        </is>
      </c>
      <c r="G73" t="inlineStr">
        <is>
          <t xml:space="preserve">Interventional</t>
        </is>
      </c>
      <c r="H73" t="inlineStr">
        <is>
          <t xml:space="preserve">Other</t>
        </is>
      </c>
      <c r="I73" t="inlineStr">
        <is>
          <t xml:space="preserve">Structured Sports, Play, and Active Recreation for Kids Exercise program (SPARK); Game-based Training</t>
        </is>
      </c>
      <c r="J73" t="inlineStr">
        <is>
          <t xml:space="preserve">Riphah International University</t>
        </is>
      </c>
      <c r="K73" t="inlineStr">
        <is>
          <t xml:space="preserve">other</t>
        </is>
      </c>
      <c r="L73" t="inlineStr">
        <is>
          <t xml:space="preserve">22</t>
        </is>
      </c>
      <c r="M73" t="inlineStr">
        <is>
          <t xml:space="preserve">2025-10-28</t>
        </is>
      </c>
      <c r="N73" t="inlineStr">
        <is>
          <t xml:space="preserve">2026-06-02</t>
        </is>
      </c>
      <c r="O73" t="inlineStr">
        <is>
          <t xml:space="preserve"/>
        </is>
      </c>
      <c r="P73" t="inlineStr">
        <is>
          <t xml:space="preserve">1</t>
        </is>
      </c>
      <c r="Q73" t="inlineStr">
        <is>
          <t xml:space="preserve"/>
        </is>
      </c>
      <c r="R73" t="inlineStr">
        <is>
          <t xml:space="preserve"/>
        </is>
      </c>
      <c r="S73" s="3" t="str">
        <f>HYPERLINK("https://clinicaltrials.gov/study/NCT07579000","https://clinicaltrials.gov/study/NCT07579000")</f>
        <v>https://clinicaltrials.gov/study/NCT07579000</v>
      </c>
    </row>
    <row r="74">
      <c r="A74" t="inlineStr">
        <is>
          <t xml:space="preserve">2026-09-30</t>
        </is>
      </c>
      <c r="B74" t="inlineStr">
        <is>
          <t xml:space="preserve">updated</t>
        </is>
      </c>
      <c r="C74" t="inlineStr">
        <is>
          <t xml:space="preserve">NCT07578987</t>
        </is>
      </c>
      <c r="D74" t="inlineStr">
        <is>
          <t xml:space="preserve">Effects of Kinetic Sand on Functional Reach and Eye-Hand Coordination in Children With Autism</t>
        </is>
      </c>
      <c r="E74" t="inlineStr">
        <is>
          <t xml:space="preserve">completed</t>
        </is>
      </c>
      <c r="F74" t="inlineStr">
        <is>
          <t xml:space="preserve"/>
        </is>
      </c>
      <c r="G74" t="inlineStr">
        <is>
          <t xml:space="preserve">Interventional</t>
        </is>
      </c>
      <c r="H74" t="inlineStr">
        <is>
          <t xml:space="preserve">Other</t>
        </is>
      </c>
      <c r="I74" t="inlineStr">
        <is>
          <t xml:space="preserve">Kinetic Sand Play</t>
        </is>
      </c>
      <c r="J74" t="inlineStr">
        <is>
          <t xml:space="preserve">Riphah International University</t>
        </is>
      </c>
      <c r="K74" t="inlineStr">
        <is>
          <t xml:space="preserve">other</t>
        </is>
      </c>
      <c r="L74" t="inlineStr">
        <is>
          <t xml:space="preserve">17</t>
        </is>
      </c>
      <c r="M74" t="inlineStr">
        <is>
          <t xml:space="preserve">2025-10-28</t>
        </is>
      </c>
      <c r="N74" t="inlineStr">
        <is>
          <t xml:space="preserve">2026-05-05</t>
        </is>
      </c>
      <c r="O74" t="inlineStr">
        <is>
          <t xml:space="preserve"/>
        </is>
      </c>
      <c r="P74" t="inlineStr">
        <is>
          <t xml:space="preserve">1</t>
        </is>
      </c>
      <c r="Q74" t="inlineStr">
        <is>
          <t xml:space="preserve"/>
        </is>
      </c>
      <c r="R74" t="inlineStr">
        <is>
          <t xml:space="preserve"/>
        </is>
      </c>
      <c r="S74" s="3" t="str">
        <f>HYPERLINK("https://clinicaltrials.gov/study/NCT07578987","https://clinicaltrials.gov/study/NCT07578987")</f>
        <v>https://clinicaltrials.gov/study/NCT07578987</v>
      </c>
    </row>
    <row r="75">
      <c r="A75" t="inlineStr">
        <is>
          <t xml:space="preserve">2026-09-29</t>
        </is>
      </c>
      <c r="B75" t="inlineStr">
        <is>
          <t xml:space="preserve">updated</t>
        </is>
      </c>
      <c r="C75" t="inlineStr">
        <is>
          <t xml:space="preserve">NCT07576907</t>
        </is>
      </c>
      <c r="D75" t="inlineStr">
        <is>
          <t xml:space="preserve">Ayre's Sensory-Motor Integration Exercises and Sensory Modulation And Motor Skills In Children With ASD</t>
        </is>
      </c>
      <c r="E75" t="inlineStr">
        <is>
          <t xml:space="preserve">completed</t>
        </is>
      </c>
      <c r="F75" t="inlineStr">
        <is>
          <t xml:space="preserve"/>
        </is>
      </c>
      <c r="G75" t="inlineStr">
        <is>
          <t xml:space="preserve">Interventional</t>
        </is>
      </c>
      <c r="H75" t="inlineStr">
        <is>
          <t xml:space="preserve">Other</t>
        </is>
      </c>
      <c r="I75" t="inlineStr">
        <is>
          <t xml:space="preserve">Ayre's Sensory-Motor Integration Exercises</t>
        </is>
      </c>
      <c r="J75" t="inlineStr">
        <is>
          <t xml:space="preserve">Riphah International University</t>
        </is>
      </c>
      <c r="K75" t="inlineStr">
        <is>
          <t xml:space="preserve">other</t>
        </is>
      </c>
      <c r="L75" t="inlineStr">
        <is>
          <t xml:space="preserve">54</t>
        </is>
      </c>
      <c r="M75" t="inlineStr">
        <is>
          <t xml:space="preserve">2026-04-01</t>
        </is>
      </c>
      <c r="N75" t="inlineStr">
        <is>
          <t xml:space="preserve">2026-07-01</t>
        </is>
      </c>
      <c r="O75" t="inlineStr">
        <is>
          <t xml:space="preserve"/>
        </is>
      </c>
      <c r="P75" t="inlineStr">
        <is>
          <t xml:space="preserve">1</t>
        </is>
      </c>
      <c r="Q75" t="inlineStr">
        <is>
          <t xml:space="preserve"/>
        </is>
      </c>
      <c r="R75" t="inlineStr">
        <is>
          <t xml:space="preserve"/>
        </is>
      </c>
      <c r="S75" s="3" t="str">
        <f>HYPERLINK("https://clinicaltrials.gov/study/NCT07576907","https://clinicaltrials.gov/study/NCT07576907")</f>
        <v>https://clinicaltrials.gov/study/NCT07576907</v>
      </c>
    </row>
    <row r="76">
      <c r="A76" t="inlineStr">
        <is>
          <t xml:space="preserve">2026-09-29</t>
        </is>
      </c>
      <c r="B76" t="inlineStr">
        <is>
          <t xml:space="preserve">updated</t>
        </is>
      </c>
      <c r="C76" t="inlineStr">
        <is>
          <t xml:space="preserve">NCT00271622</t>
        </is>
      </c>
      <c r="D76" t="inlineStr">
        <is>
          <t xml:space="preserve">The Neurodevelopmental and Behavioral Phenotyping Screening Protocol</t>
        </is>
      </c>
      <c r="E76" t="inlineStr">
        <is>
          <t xml:space="preserve">recruiting</t>
        </is>
      </c>
      <c r="F76" t="inlineStr">
        <is>
          <t xml:space="preserve"/>
        </is>
      </c>
      <c r="G76" t="inlineStr">
        <is>
          <t xml:space="preserve">Observational</t>
        </is>
      </c>
      <c r="H76" t="inlineStr">
        <is>
          <t xml:space="preserve"/>
        </is>
      </c>
      <c r="I76" t="inlineStr">
        <is>
          <t xml:space="preserve"/>
        </is>
      </c>
      <c r="J76" t="inlineStr">
        <is>
          <t xml:space="preserve">National Institute of Mental Health (NIMH)</t>
        </is>
      </c>
      <c r="K76" t="inlineStr">
        <is>
          <t xml:space="preserve">nih</t>
        </is>
      </c>
      <c r="L76" t="inlineStr">
        <is>
          <t xml:space="preserve">5000</t>
        </is>
      </c>
      <c r="M76" t="inlineStr">
        <is>
          <t xml:space="preserve">2006-02-27</t>
        </is>
      </c>
      <c r="N76" t="inlineStr">
        <is>
          <t xml:space="preserve"/>
        </is>
      </c>
      <c r="O76" t="inlineStr">
        <is>
          <t xml:space="preserve"/>
        </is>
      </c>
      <c r="P76" t="inlineStr">
        <is>
          <t xml:space="preserve">1</t>
        </is>
      </c>
      <c r="Q76" t="inlineStr">
        <is>
          <t xml:space="preserve">MD</t>
        </is>
      </c>
      <c r="R76" t="inlineStr">
        <is>
          <t xml:space="preserve"/>
        </is>
      </c>
      <c r="S76" s="3" t="str">
        <f>HYPERLINK("https://clinicaltrials.gov/study/NCT00271622","https://clinicaltrials.gov/study/NCT00271622")</f>
        <v>https://clinicaltrials.gov/study/NCT00271622</v>
      </c>
    </row>
    <row r="77">
      <c r="A77" t="inlineStr">
        <is>
          <t xml:space="preserve">2026-09-28</t>
        </is>
      </c>
      <c r="B77" t="inlineStr">
        <is>
          <t xml:space="preserve">new study</t>
        </is>
      </c>
      <c r="C77" t="inlineStr">
        <is>
          <t xml:space="preserve">NCT07285798</t>
        </is>
      </c>
      <c r="D77" t="inlineStr">
        <is>
          <t xml:space="preserve">A Study of KarXT + KarX-EC for Treatment of Irritability in Children and Adolescents With Autism Spectrum Disorder</t>
        </is>
      </c>
      <c r="E77" t="inlineStr">
        <is>
          <t xml:space="preserve">not yet recruiting</t>
        </is>
      </c>
      <c r="F77" t="inlineStr">
        <is>
          <t xml:space="preserve">PHASE3</t>
        </is>
      </c>
      <c r="G77" t="inlineStr">
        <is>
          <t xml:space="preserve">Interventional</t>
        </is>
      </c>
      <c r="H77" t="inlineStr">
        <is>
          <t xml:space="preserve">Drug</t>
        </is>
      </c>
      <c r="I77" t="inlineStr">
        <is>
          <t xml:space="preserve">KarXT; KarX-EC; KarXT + KarX-EC Matching Placebo</t>
        </is>
      </c>
      <c r="J77" t="inlineStr">
        <is>
          <t xml:space="preserve">Bristol-Myers Squibb</t>
        </is>
      </c>
      <c r="K77" t="inlineStr">
        <is>
          <t xml:space="preserve">industry</t>
        </is>
      </c>
      <c r="L77" t="inlineStr">
        <is>
          <t xml:space="preserve">176</t>
        </is>
      </c>
      <c r="M77" t="inlineStr">
        <is>
          <t xml:space="preserve">2026-10-02</t>
        </is>
      </c>
      <c r="N77" t="inlineStr">
        <is>
          <t xml:space="preserve">2029-08-06</t>
        </is>
      </c>
      <c r="O77" t="inlineStr">
        <is>
          <t xml:space="preserve"/>
        </is>
      </c>
      <c r="P77" t="inlineStr">
        <is>
          <t xml:space="preserve">67</t>
        </is>
      </c>
      <c r="Q77" t="inlineStr">
        <is>
          <t xml:space="preserve">AZ, CA, CT, FL, GA, IL, MA, MO, NE, NJ, NY, OH, PA, TX, UT, WA</t>
        </is>
      </c>
      <c r="R77" t="inlineStr">
        <is>
          <t xml:space="preserve"/>
        </is>
      </c>
      <c r="S77" s="3" t="str">
        <f>HYPERLINK("https://clinicaltrials.gov/study/NCT07285798","https://clinicaltrials.gov/study/NCT07285798")</f>
        <v>https://clinicaltrials.gov/study/NCT07285798</v>
      </c>
    </row>
  </sheetData>
  <autoFilter ref="A2:S77"/>
</worksheet>
</file>

<file path=xl/worksheets/sheet5.xml><?xml version="1.0" encoding="utf-8"?>
<worksheet xmlns="http://schemas.openxmlformats.org/spreadsheetml/2006/main">
  <dimension ref="A1:N10"/>
  <sheetViews>
    <sheetView workbookViewId="0">
      <pane ySplit="2" topLeftCell="A3" activePane="bottomLeft" state="frozen"/>
    </sheetView>
  </sheetViews>
  <cols>
    <col min="1" max="1" width="12"/>
    <col min="2" max="2" width="12"/>
    <col min="3" max="3" width="23"/>
    <col min="4" max="4" width="9"/>
    <col min="5" max="5" width="15"/>
    <col min="6" max="6" width="20"/>
    <col min="7" max="7" width="17"/>
    <col min="8" max="8" width="70"/>
    <col min="9" max="9" width="58"/>
    <col min="10" max="10" width="70"/>
    <col min="11" max="11" width="20"/>
    <col min="12" max="12" width="9"/>
    <col min="13" max="13" width="12"/>
    <col min="14" max="14" width="51"/>
  </cols>
  <sheetData>
    <row r="1">
      <c r="A1" s="2" t="inlineStr">
        <is>
          <t xml:space="preserve">Patents — last 90 days (2026-07-30 to 2026-10-28) · counts when: publication or grant date</t>
        </is>
      </c>
    </row>
    <row r="2">
      <c r="A2" s="1" t="inlineStr">
        <is>
          <t xml:space="preserve">Date</t>
        </is>
      </c>
      <c r="B2" s="1" t="inlineStr">
        <is>
          <t xml:space="preserve">Filed</t>
        </is>
      </c>
      <c r="C2" s="1" t="inlineStr">
        <is>
          <t xml:space="preserve">Status</t>
        </is>
      </c>
      <c r="D2" s="1" t="inlineStr">
        <is>
          <t xml:space="preserve">Kind</t>
        </is>
      </c>
      <c r="E2" s="1" t="inlineStr">
        <is>
          <t xml:space="preserve">Patent number</t>
        </is>
      </c>
      <c r="F2" s="1" t="inlineStr">
        <is>
          <t xml:space="preserve">Application number</t>
        </is>
      </c>
      <c r="G2" s="1" t="inlineStr">
        <is>
          <t xml:space="preserve">Publication</t>
        </is>
      </c>
      <c r="H2" s="1" t="inlineStr">
        <is>
          <t xml:space="preserve">Title</t>
        </is>
      </c>
      <c r="I2" s="1" t="inlineStr">
        <is>
          <t xml:space="preserve">Inventors</t>
        </is>
      </c>
      <c r="J2" s="1" t="inlineStr">
        <is>
          <t xml:space="preserve">Assignees</t>
        </is>
      </c>
      <c r="K2" s="1" t="inlineStr">
        <is>
          <t xml:space="preserve">City</t>
        </is>
      </c>
      <c r="L2" s="1" t="inlineStr">
        <is>
          <t xml:space="preserve">State</t>
        </is>
      </c>
      <c r="M2" s="1" t="inlineStr">
        <is>
          <t xml:space="preserve">Modalities</t>
        </is>
      </c>
      <c r="N2" s="1" t="inlineStr">
        <is>
          <t xml:space="preserve">URL</t>
        </is>
      </c>
    </row>
    <row r="3">
      <c r="A3" t="inlineStr">
        <is>
          <t xml:space="preserve">2026-10-22</t>
        </is>
      </c>
      <c r="B3" t="inlineStr">
        <is>
          <t xml:space="preserve">2026-02-13</t>
        </is>
      </c>
      <c r="C3" t="inlineStr">
        <is>
          <t xml:space="preserve">Published application</t>
        </is>
      </c>
      <c r="D3" t="inlineStr">
        <is>
          <t xml:space="preserve">A1</t>
        </is>
      </c>
      <c r="E3" t="inlineStr">
        <is>
          <t xml:space="preserve"/>
        </is>
      </c>
      <c r="F3" t="inlineStr">
        <is>
          <t xml:space="preserve">19539983</t>
        </is>
      </c>
      <c r="G3" t="inlineStr">
        <is>
          <t xml:space="preserve">US20260325488A1</t>
        </is>
      </c>
      <c r="H3" t="inlineStr">
        <is>
          <t xml:space="preserve">METHODS AND COMPOSITIONS FOR TREATING AUTISM USING S-ETHOSUXIMIDE</t>
        </is>
      </c>
      <c r="I3" t="inlineStr">
        <is>
          <t xml:space="preserve">Charles E. Niesen</t>
        </is>
      </c>
      <c r="J3" t="inlineStr">
        <is>
          <t xml:space="preserve"/>
        </is>
      </c>
      <c r="K3" t="inlineStr">
        <is>
          <t xml:space="preserve">Pasadena</t>
        </is>
      </c>
      <c r="L3" t="inlineStr">
        <is>
          <t xml:space="preserve">CA</t>
        </is>
      </c>
      <c r="M3" t="inlineStr">
        <is>
          <t xml:space="preserve"/>
        </is>
      </c>
      <c r="N3" s="3" t="str">
        <f>HYPERLINK("https://patents.google.com/patent/US20260325488A1","https://patents.google.com/patent/US20260325488A1")</f>
        <v>https://patents.google.com/patent/US20260325488A1</v>
      </c>
    </row>
    <row r="4">
      <c r="A4" t="inlineStr">
        <is>
          <t xml:space="preserve">2026-10-13</t>
        </is>
      </c>
      <c r="B4" t="inlineStr">
        <is>
          <t xml:space="preserve">2024-04-17</t>
        </is>
      </c>
      <c r="C4" t="inlineStr">
        <is>
          <t xml:space="preserve">Granted</t>
        </is>
      </c>
      <c r="D4" t="inlineStr">
        <is>
          <t xml:space="preserve">B2</t>
        </is>
      </c>
      <c r="E4" t="inlineStr">
        <is>
          <t xml:space="preserve">12758529</t>
        </is>
      </c>
      <c r="F4" t="inlineStr">
        <is>
          <t xml:space="preserve">18702278</t>
        </is>
      </c>
      <c r="G4" t="inlineStr">
        <is>
          <t xml:space="preserve">US12758529</t>
        </is>
      </c>
      <c r="H4" t="inlineStr">
        <is>
          <t xml:space="preserve">USE OF EDARAVONE IN TREATMENT OF AUTISM SPECTRUM DISORDER</t>
        </is>
      </c>
      <c r="I4" t="inlineStr">
        <is>
          <t xml:space="preserve">Yi ZHOU; Xin YE</t>
        </is>
      </c>
      <c r="J4" t="inlineStr">
        <is>
          <t xml:space="preserve">SUZHOU AUZONE BIOLOGICAL TECHNOLOGY CO., LTD; SHANGHAI AUZONE BIOLOGICAL TECHNOLOGY CO., LTD.</t>
        </is>
      </c>
      <c r="K4" t="inlineStr">
        <is>
          <t xml:space="preserve">Bloomington</t>
        </is>
      </c>
      <c r="L4" t="inlineStr">
        <is>
          <t xml:space="preserve">MN</t>
        </is>
      </c>
      <c r="M4" t="inlineStr">
        <is>
          <t xml:space="preserve"/>
        </is>
      </c>
      <c r="N4" s="3" t="str">
        <f>HYPERLINK("https://patents.google.com/patent/US12758529","https://patents.google.com/patent/US12758529")</f>
        <v>https://patents.google.com/patent/US12758529</v>
      </c>
    </row>
    <row r="5">
      <c r="A5" t="inlineStr">
        <is>
          <t xml:space="preserve">2026-09-22</t>
        </is>
      </c>
      <c r="B5" t="inlineStr">
        <is>
          <t xml:space="preserve">2024-05-10</t>
        </is>
      </c>
      <c r="C5" t="inlineStr">
        <is>
          <t xml:space="preserve">Granted</t>
        </is>
      </c>
      <c r="D5" t="inlineStr">
        <is>
          <t xml:space="preserve">B2</t>
        </is>
      </c>
      <c r="E5" t="inlineStr">
        <is>
          <t xml:space="preserve">12740725</t>
        </is>
      </c>
      <c r="F5" t="inlineStr">
        <is>
          <t xml:space="preserve">18660379</t>
        </is>
      </c>
      <c r="G5" t="inlineStr">
        <is>
          <t xml:space="preserve">US12740725</t>
        </is>
      </c>
      <c r="H5" t="inlineStr">
        <is>
          <t xml:space="preserve">METHOD AND APPARATUS FOR DETECTING STEREOTYPED BEHAVIOR TO SUPPORT DIAGNOSIS OF AUTISM SPECTRUM DISORDER</t>
        </is>
      </c>
      <c r="I5" t="inlineStr">
        <is>
          <t xml:space="preserve">Cheol-Hwan YOO; Moon-Ki BACK; Jang-Hee YOO; Byung-Ok HAN</t>
        </is>
      </c>
      <c r="J5" t="inlineStr">
        <is>
          <t xml:space="preserve">ELECTRONICS AND TELECOMMUNICATIONS RESEARCH INSTITUTE</t>
        </is>
      </c>
      <c r="K5" t="inlineStr">
        <is>
          <t xml:space="preserve">Chantilly</t>
        </is>
      </c>
      <c r="L5" t="inlineStr">
        <is>
          <t xml:space="preserve">VA</t>
        </is>
      </c>
      <c r="M5" t="inlineStr">
        <is>
          <t xml:space="preserve"/>
        </is>
      </c>
      <c r="N5" s="3" t="str">
        <f>HYPERLINK("https://patents.google.com/patent/US12740725","https://patents.google.com/patent/US12740725")</f>
        <v>https://patents.google.com/patent/US12740725</v>
      </c>
    </row>
    <row r="6">
      <c r="A6" t="inlineStr">
        <is>
          <t xml:space="preserve">2026-09-10</t>
        </is>
      </c>
      <c r="B6" t="inlineStr">
        <is>
          <t xml:space="preserve">2026-04-27</t>
        </is>
      </c>
      <c r="C6" t="inlineStr">
        <is>
          <t xml:space="preserve">Published application</t>
        </is>
      </c>
      <c r="D6" t="inlineStr">
        <is>
          <t xml:space="preserve">A1</t>
        </is>
      </c>
      <c r="E6" t="inlineStr">
        <is>
          <t xml:space="preserve"/>
        </is>
      </c>
      <c r="F6" t="inlineStr">
        <is>
          <t xml:space="preserve">19659471</t>
        </is>
      </c>
      <c r="G6" t="inlineStr">
        <is>
          <t xml:space="preserve">US20260269050A1</t>
        </is>
      </c>
      <c r="H6" t="inlineStr">
        <is>
          <t xml:space="preserve">METHODS AND APPARATUS FOR PREDICTING AND PREVENTING AUTISTIC BEHAVIORS WITH LEARNING AND AI ALGORITHMS</t>
        </is>
      </c>
      <c r="I6" t="inlineStr">
        <is>
          <t xml:space="preserve">Isabelle Mordecai Troxler; Robert Ernest Troxler</t>
        </is>
      </c>
      <c r="J6" t="inlineStr">
        <is>
          <t xml:space="preserve"/>
        </is>
      </c>
      <c r="K6" t="inlineStr">
        <is>
          <t xml:space="preserve">Raleigh</t>
        </is>
      </c>
      <c r="L6" t="inlineStr">
        <is>
          <t xml:space="preserve">NC</t>
        </is>
      </c>
      <c r="M6" t="inlineStr">
        <is>
          <t xml:space="preserve"/>
        </is>
      </c>
      <c r="N6" s="3" t="str">
        <f>HYPERLINK("https://patents.google.com/patent/US20260269050A1","https://patents.google.com/patent/US20260269050A1")</f>
        <v>https://patents.google.com/patent/US20260269050A1</v>
      </c>
    </row>
    <row r="7">
      <c r="A7" t="inlineStr">
        <is>
          <t xml:space="preserve">2026-09-03</t>
        </is>
      </c>
      <c r="B7" t="inlineStr">
        <is>
          <t xml:space="preserve">2025-09-12</t>
        </is>
      </c>
      <c r="C7" t="inlineStr">
        <is>
          <t xml:space="preserve">Published application</t>
        </is>
      </c>
      <c r="D7" t="inlineStr">
        <is>
          <t xml:space="preserve">A1</t>
        </is>
      </c>
      <c r="E7" t="inlineStr">
        <is>
          <t xml:space="preserve"/>
        </is>
      </c>
      <c r="F7" t="inlineStr">
        <is>
          <t xml:space="preserve">19164950</t>
        </is>
      </c>
      <c r="G7" t="inlineStr">
        <is>
          <t xml:space="preserve">US20260256834A1</t>
        </is>
      </c>
      <c r="H7" t="inlineStr">
        <is>
          <t xml:space="preserve">Materials and Methods for Reducing the Occurrence and/or Severity of Autism Spectrum Disorder</t>
        </is>
      </c>
      <c r="I7" t="inlineStr">
        <is>
          <t xml:space="preserve">KEN ALIBEK; ANDREW R. LEFKOWITZ</t>
        </is>
      </c>
      <c r="J7" t="inlineStr">
        <is>
          <t xml:space="preserve">FLAASK, LLC</t>
        </is>
      </c>
      <c r="K7" t="inlineStr">
        <is>
          <t xml:space="preserve">Dunn Loring</t>
        </is>
      </c>
      <c r="L7" t="inlineStr">
        <is>
          <t xml:space="preserve">VA</t>
        </is>
      </c>
      <c r="M7" t="inlineStr">
        <is>
          <t xml:space="preserve"/>
        </is>
      </c>
      <c r="N7" s="3" t="str">
        <f>HYPERLINK("https://patents.google.com/patent/US20260256834A1","https://patents.google.com/patent/US20260256834A1")</f>
        <v>https://patents.google.com/patent/US20260256834A1</v>
      </c>
    </row>
    <row r="8">
      <c r="A8" t="inlineStr">
        <is>
          <t xml:space="preserve">2026-08-18</t>
        </is>
      </c>
      <c r="B8" t="inlineStr">
        <is>
          <t xml:space="preserve">2021-10-04</t>
        </is>
      </c>
      <c r="C8" t="inlineStr">
        <is>
          <t xml:space="preserve">Granted</t>
        </is>
      </c>
      <c r="D8" t="inlineStr">
        <is>
          <t xml:space="preserve">B2</t>
        </is>
      </c>
      <c r="E8" t="inlineStr">
        <is>
          <t xml:space="preserve">12710431</t>
        </is>
      </c>
      <c r="F8" t="inlineStr">
        <is>
          <t xml:space="preserve">17601235</t>
        </is>
      </c>
      <c r="G8" t="inlineStr">
        <is>
          <t xml:space="preserve">US12710431</t>
        </is>
      </c>
      <c r="H8" t="inlineStr">
        <is>
          <t xml:space="preserve">DIAGNOSTIC FOR CHILDHOOD RISK OF AUTISM SPECTRUM DISORDER</t>
        </is>
      </c>
      <c r="I8" t="inlineStr">
        <is>
          <t xml:space="preserve">JAMES B. ADAMS; JUERGEN HAHN; HAIWEI GU</t>
        </is>
      </c>
      <c r="J8" t="inlineStr">
        <is>
          <t xml:space="preserve">RENSSELAER POLYTECHNIC INSTITUTE; ARIZONA BOARD OF REGENTS ON BEHALF OF ARIZONA STATE UNIVERSITY</t>
        </is>
      </c>
      <c r="K8" t="inlineStr">
        <is>
          <t xml:space="preserve">Tempe</t>
        </is>
      </c>
      <c r="L8" t="inlineStr">
        <is>
          <t xml:space="preserve">AZ</t>
        </is>
      </c>
      <c r="M8" t="inlineStr">
        <is>
          <t xml:space="preserve"/>
        </is>
      </c>
      <c r="N8" s="3" t="str">
        <f>HYPERLINK("https://patents.google.com/patent/US12710431","https://patents.google.com/patent/US12710431")</f>
        <v>https://patents.google.com/patent/US12710431</v>
      </c>
    </row>
    <row r="9">
      <c r="A9" t="inlineStr">
        <is>
          <t xml:space="preserve">2026-08-13</t>
        </is>
      </c>
      <c r="B9" t="inlineStr">
        <is>
          <t xml:space="preserve">2026-04-22</t>
        </is>
      </c>
      <c r="C9" t="inlineStr">
        <is>
          <t xml:space="preserve">Published application</t>
        </is>
      </c>
      <c r="D9" t="inlineStr">
        <is>
          <t xml:space="preserve">A1</t>
        </is>
      </c>
      <c r="E9" t="inlineStr">
        <is>
          <t xml:space="preserve"/>
        </is>
      </c>
      <c r="F9" t="inlineStr">
        <is>
          <t xml:space="preserve">19655153</t>
        </is>
      </c>
      <c r="G9" t="inlineStr">
        <is>
          <t xml:space="preserve">US20260234191A1</t>
        </is>
      </c>
      <c r="H9" t="inlineStr">
        <is>
          <t xml:space="preserve">ANTIGENIC PEPTIDES AND USES THEREOF FOR DIAGNOSING AND TREATING AUTISM</t>
        </is>
      </c>
      <c r="I9" t="inlineStr">
        <is>
          <t xml:space="preserve">Judy Van De Water; Elizabeth Edmiston</t>
        </is>
      </c>
      <c r="J9" t="inlineStr">
        <is>
          <t xml:space="preserve">THE REGENTS OF THE UNIVERSITY OF CALIFORNIA</t>
        </is>
      </c>
      <c r="K9" t="inlineStr">
        <is>
          <t xml:space="preserve">Oakland</t>
        </is>
      </c>
      <c r="L9" t="inlineStr">
        <is>
          <t xml:space="preserve">CA</t>
        </is>
      </c>
      <c r="M9" t="inlineStr">
        <is>
          <t xml:space="preserve">Peptide</t>
        </is>
      </c>
      <c r="N9" s="3" t="str">
        <f>HYPERLINK("https://patents.google.com/patent/US20260234191A1","https://patents.google.com/patent/US20260234191A1")</f>
        <v>https://patents.google.com/patent/US20260234191A1</v>
      </c>
    </row>
    <row r="10">
      <c r="A10" t="inlineStr">
        <is>
          <t xml:space="preserve">2026-07-30</t>
        </is>
      </c>
      <c r="B10" t="inlineStr">
        <is>
          <t xml:space="preserve">2026-03-23</t>
        </is>
      </c>
      <c r="C10" t="inlineStr">
        <is>
          <t xml:space="preserve">Published application</t>
        </is>
      </c>
      <c r="D10" t="inlineStr">
        <is>
          <t xml:space="preserve">A1</t>
        </is>
      </c>
      <c r="E10" t="inlineStr">
        <is>
          <t xml:space="preserve"/>
        </is>
      </c>
      <c r="F10" t="inlineStr">
        <is>
          <t xml:space="preserve">19574669</t>
        </is>
      </c>
      <c r="G10" t="inlineStr">
        <is>
          <t xml:space="preserve">US20260215471A1</t>
        </is>
      </c>
      <c r="H10" t="inlineStr">
        <is>
          <t xml:space="preserve">Compositions and Methods for Improving Quality of Life in Patients with Autism Spectrum Disorder</t>
        </is>
      </c>
      <c r="I10" t="inlineStr">
        <is>
          <t xml:space="preserve">Andrew R. LEFKOWITZ; Ken ALIBEK</t>
        </is>
      </c>
      <c r="J10" t="inlineStr">
        <is>
          <t xml:space="preserve">FLAASK, LLC</t>
        </is>
      </c>
      <c r="K10" t="inlineStr">
        <is>
          <t xml:space="preserve">University Heights</t>
        </is>
      </c>
      <c r="L10" t="inlineStr">
        <is>
          <t xml:space="preserve">OH</t>
        </is>
      </c>
      <c r="M10" t="inlineStr">
        <is>
          <t xml:space="preserve"/>
        </is>
      </c>
      <c r="N10" s="3" t="str">
        <f>HYPERLINK("https://patents.google.com/patent/US20260215471A1","https://patents.google.com/patent/US20260215471A1")</f>
        <v>https://patents.google.com/patent/US20260215471A1</v>
      </c>
    </row>
  </sheetData>
  <autoFilter ref="A2:N10"/>
</worksheet>
</file>

<file path=xl/worksheets/sheet6.xml><?xml version="1.0" encoding="utf-8"?>
<worksheet xmlns="http://schemas.openxmlformats.org/spreadsheetml/2006/main">
  <dimension ref="A1:G15"/>
  <sheetViews>
    <sheetView workbookViewId="0">
      <pane ySplit="2" topLeftCell="A3" activePane="bottomLeft" state="frozen"/>
    </sheetView>
  </sheetViews>
  <cols>
    <col min="1" max="1" width="12"/>
    <col min="2" max="2" width="17"/>
    <col min="3" max="3" width="70"/>
    <col min="4" max="4" width="70"/>
    <col min="5" max="5" width="12"/>
    <col min="6" max="6" width="12"/>
    <col min="7" max="7" width="70"/>
  </cols>
  <sheetData>
    <row r="1">
      <c r="A1" s="2" t="inlineStr">
        <is>
          <t xml:space="preserve">Press &amp; media — last 7 days (2026-10-21 to 2026-10-28) · counts when: release date</t>
        </is>
      </c>
    </row>
    <row r="2">
      <c r="A2" s="1" t="inlineStr">
        <is>
          <t xml:space="preserve">Date</t>
        </is>
      </c>
      <c r="B2" s="1" t="inlineStr">
        <is>
          <t xml:space="preserve">Source</t>
        </is>
      </c>
      <c r="C2" s="1" t="inlineStr">
        <is>
          <t xml:space="preserve">Title</t>
        </is>
      </c>
      <c r="D2" s="1" t="inlineStr">
        <is>
          <t xml:space="preserve">Summary</t>
        </is>
      </c>
      <c r="E2" s="1" t="inlineStr">
        <is>
          <t xml:space="preserve">Modalities</t>
        </is>
      </c>
      <c r="F2" s="1" t="inlineStr">
        <is>
          <t xml:space="preserve">Picked up</t>
        </is>
      </c>
      <c r="G2" s="1" t="inlineStr">
        <is>
          <t xml:space="preserve">URL</t>
        </is>
      </c>
    </row>
    <row r="3">
      <c r="A3" t="inlineStr">
        <is>
          <t xml:space="preserve">2026-10-27</t>
        </is>
      </c>
      <c r="B3" t="inlineStr">
        <is>
          <t xml:space="preserve">ScienceDaily</t>
        </is>
      </c>
      <c r="C3" t="inlineStr">
        <is>
          <t xml:space="preserve">The autistic brain processes faces differently than scientists thought</t>
        </is>
      </c>
      <c r="D3" t="inlineStr">
        <is>
          <t xml:space="preserve">A major new study reveals that autistic children’s brains process faces differently, and those differences may begin earlier than scientists previously thought. Researchers found that brain signals associated with recognizing faces become more specialized as neurotypical children grow older, but show much less change in autistic children. The discovery could help explain why some autistic people have difficulty recognizing faces and reading emotions.</t>
        </is>
      </c>
      <c r="E3" t="inlineStr">
        <is>
          <t xml:space="preserve"/>
        </is>
      </c>
      <c r="F3" t="inlineStr">
        <is>
          <t xml:space="preserve">2026-10-28</t>
        </is>
      </c>
      <c r="G3" s="3" t="str">
        <f>HYPERLINK("https://www.sciencedaily.com/releases/2026/10/261027063824.htm","https://www.sciencedaily.com/releases/2026/10/261027063824.htm")</f>
        <v>https://www.sciencedaily.com/releases/2026/10/261027063824.htm</v>
      </c>
    </row>
    <row r="4">
      <c r="A4" t="inlineStr">
        <is>
          <t xml:space="preserve">2026-10-27</t>
        </is>
      </c>
      <c r="B4" t="inlineStr">
        <is>
          <t xml:space="preserve">News-Medical</t>
        </is>
      </c>
      <c r="C4" t="inlineStr">
        <is>
          <t xml:space="preserve">Autistic people report worse menopause symptoms and lower quality of life</t>
        </is>
      </c>
      <c r="D4" t="inlineStr">
        <is>
          <t xml:space="preserve">A new study by researchers at Bournemouth University has shown that autistic people consistently experience more severe menopausal symptoms than non-autistic people, leading to poorer wellbeing and quality of life.</t>
        </is>
      </c>
      <c r="E4" t="inlineStr">
        <is>
          <t xml:space="preserve"/>
        </is>
      </c>
      <c r="F4" t="inlineStr">
        <is>
          <t xml:space="preserve">2026-10-28</t>
        </is>
      </c>
      <c r="G4" s="3" t="str">
        <f>HYPERLINK("https://www.news-medical.net/news/20261027/Autistic-people-report-worse-menopause-symptoms-and-lower-quality-of-life.aspx","https://www.news-medical.net/news/20261027/Autistic-people-report-worse-menopause-symptoms-and-lower-quality-of-life.aspx")</f>
        <v>https://www.news-medical.net/news/20261027/Autistic-people-report-worse-menopause-symptoms-and-lower-quality-of-life.aspx</v>
      </c>
    </row>
    <row r="5">
      <c r="A5" t="inlineStr">
        <is>
          <t xml:space="preserve">2026-10-27</t>
        </is>
      </c>
      <c r="B5" t="inlineStr">
        <is>
          <t xml:space="preserve">News-Medical</t>
        </is>
      </c>
      <c r="C5" t="inlineStr">
        <is>
          <t xml:space="preserve">Rutgers study links prenatal wildfire smoke exposure to autism risk</t>
        </is>
      </c>
      <c r="D5" t="inlineStr">
        <is>
          <t xml:space="preserve">A Rutgers-led analysis of health insurance records found that exposure to fine particles from wildfire smoke during pregnancy was associated with a higher risk of autism diagnosis in children, with the strongest associations during the second and third trimesters.</t>
        </is>
      </c>
      <c r="E5" t="inlineStr">
        <is>
          <t xml:space="preserve"/>
        </is>
      </c>
      <c r="F5" t="inlineStr">
        <is>
          <t xml:space="preserve">2026-10-28</t>
        </is>
      </c>
      <c r="G5" s="3" t="str">
        <f>HYPERLINK("https://www.news-medical.net/news/20261027/Rutgers-study-links-prenatal-wildfire-smoke-exposure-to-autism-risk.aspx","https://www.news-medical.net/news/20261027/Rutgers-study-links-prenatal-wildfire-smoke-exposure-to-autism-risk.aspx")</f>
        <v>https://www.news-medical.net/news/20261027/Rutgers-study-links-prenatal-wildfire-smoke-exposure-to-autism-risk.aspx</v>
      </c>
    </row>
    <row r="6">
      <c r="A6" t="inlineStr">
        <is>
          <t xml:space="preserve">2026-10-27</t>
        </is>
      </c>
      <c r="B6" t="inlineStr">
        <is>
          <t xml:space="preserve">News-Medical</t>
        </is>
      </c>
      <c r="C6" t="inlineStr">
        <is>
          <t xml:space="preserve">Early exercise improves motor function in a mouse model of DDX3X syndrome</t>
        </is>
      </c>
      <c r="D6" t="inlineStr">
        <is>
          <t xml:space="preserve">Acquisition of motor skills during infancy is critical for a child's ability to interact with the physical and social environment and motor impairments are frequent in individuals with neurodevelopmental disorders, including autism.</t>
        </is>
      </c>
      <c r="E6" t="inlineStr">
        <is>
          <t xml:space="preserve"/>
        </is>
      </c>
      <c r="F6" t="inlineStr">
        <is>
          <t xml:space="preserve">2026-10-28</t>
        </is>
      </c>
      <c r="G6" s="3" t="str">
        <f>HYPERLINK("https://www.news-medical.net/news/20261027/Early-exercise-improves-motor-function-in-a-mouse-model-of-DDX3X-syndrome.aspx","https://www.news-medical.net/news/20261027/Early-exercise-improves-motor-function-in-a-mouse-model-of-DDX3X-syndrome.aspx")</f>
        <v>https://www.news-medical.net/news/20261027/Early-exercise-improves-motor-function-in-a-mouse-model-of-DDX3X-syndrome.aspx</v>
      </c>
    </row>
    <row r="7">
      <c r="A7" t="inlineStr">
        <is>
          <t xml:space="preserve">2026-10-27</t>
        </is>
      </c>
      <c r="B7" t="inlineStr">
        <is>
          <t xml:space="preserve">News-Medical</t>
        </is>
      </c>
      <c r="C7" t="inlineStr">
        <is>
          <t xml:space="preserve">Autistic people show weaker brain responses to negative feedback</t>
        </is>
      </c>
      <c r="D7" t="inlineStr">
        <is>
          <t xml:space="preserve">Some people who have autism spectrum disorder struggle to adapt to changing demands in their environment.</t>
        </is>
      </c>
      <c r="E7" t="inlineStr">
        <is>
          <t xml:space="preserve"/>
        </is>
      </c>
      <c r="F7" t="inlineStr">
        <is>
          <t xml:space="preserve">2026-10-28</t>
        </is>
      </c>
      <c r="G7" s="3" t="str">
        <f>HYPERLINK("https://www.news-medical.net/news/20261027/Autistic-people-show-weaker-brain-responses-to-negative-feedback.aspx","https://www.news-medical.net/news/20261027/Autistic-people-show-weaker-brain-responses-to-negative-feedback.aspx")</f>
        <v>https://www.news-medical.net/news/20261027/Autistic-people-show-weaker-brain-responses-to-negative-feedback.aspx</v>
      </c>
    </row>
    <row r="8">
      <c r="A8" t="inlineStr">
        <is>
          <t xml:space="preserve">2026-10-27</t>
        </is>
      </c>
      <c r="B8" t="inlineStr">
        <is>
          <t xml:space="preserve">The Transmitter</t>
        </is>
      </c>
      <c r="C8" t="inlineStr">
        <is>
          <t xml:space="preserve">Behavioral phenomics in zebrafish; and more</t>
        </is>
      </c>
      <c r="D8" t="inlineStr">
        <is>
          <t xml:space="preserve">Here is a roundup of autism-related news and research spotted around the web for the week of 26 October.</t>
        </is>
      </c>
      <c r="E8" t="inlineStr">
        <is>
          <t xml:space="preserve"/>
        </is>
      </c>
      <c r="F8" t="inlineStr">
        <is>
          <t xml:space="preserve">2026-10-28</t>
        </is>
      </c>
      <c r="G8" s="3" t="str">
        <f>HYPERLINK("https://www.thetransmitter.org/spectrum/behavioral-phenomics-in-zebrafish-and-more/","https://www.thetransmitter.org/spectrum/behavioral-phenomics-in-zebrafish-and-more/")</f>
        <v>https://www.thetransmitter.org/spectrum/behavioral-phenomics-in-zebrafish-and-more/</v>
      </c>
    </row>
    <row r="9">
      <c r="A9" t="inlineStr">
        <is>
          <t xml:space="preserve">2026-10-23</t>
        </is>
      </c>
      <c r="B9" t="inlineStr">
        <is>
          <t xml:space="preserve">ScienceDaily</t>
        </is>
      </c>
      <c r="C9" t="inlineStr">
        <is>
          <t xml:space="preserve">Scientists discover a hidden messaging system deep inside the brain</t>
        </is>
      </c>
      <c r="D9" t="inlineStr">
        <is>
          <t xml:space="preserve">A tiny region deep within the brain has surprised scientists by revealing a remarkably sophisticated communication system. Previously thought to broadcast the same chemical signal throughout the brain, this region actually sends targeted messages that help control learning, attention, and behavior, according to new research in mice.</t>
        </is>
      </c>
      <c r="E9" t="inlineStr">
        <is>
          <t xml:space="preserve"/>
        </is>
      </c>
      <c r="F9" t="inlineStr">
        <is>
          <t xml:space="preserve">2026-10-24</t>
        </is>
      </c>
      <c r="G9" s="3" t="str">
        <f>HYPERLINK("https://www.sciencedaily.com/releases/2026/10/261022081304.htm","https://www.sciencedaily.com/releases/2026/10/261022081304.htm")</f>
        <v>https://www.sciencedaily.com/releases/2026/10/261022081304.htm</v>
      </c>
    </row>
    <row r="10">
      <c r="A10" t="inlineStr">
        <is>
          <t xml:space="preserve">2026-10-22</t>
        </is>
      </c>
      <c r="B10" t="inlineStr">
        <is>
          <t xml:space="preserve">ScienceDaily</t>
        </is>
      </c>
      <c r="C10" t="inlineStr">
        <is>
          <t xml:space="preserve">Scientists discover a surprising secret behind the human brain’s wrinkles</t>
        </is>
      </c>
      <c r="D10" t="inlineStr">
        <is>
          <t xml:space="preserve">Scientists have discovered why common marmosets have unusually small, smooth brains despite starting development much like other primates. The secret lies in subtle changes to brain-building cells that slow neuron production, revealing new clues about how the large, folded human brain evolved.</t>
        </is>
      </c>
      <c r="E10" t="inlineStr">
        <is>
          <t xml:space="preserve"/>
        </is>
      </c>
      <c r="F10" t="inlineStr">
        <is>
          <t xml:space="preserve">2026-10-24</t>
        </is>
      </c>
      <c r="G10" s="3" t="str">
        <f>HYPERLINK("https://www.sciencedaily.com/releases/2026/10/261021231235.htm","https://www.sciencedaily.com/releases/2026/10/261021231235.htm")</f>
        <v>https://www.sciencedaily.com/releases/2026/10/261021231235.htm</v>
      </c>
    </row>
    <row r="11">
      <c r="A11" t="inlineStr">
        <is>
          <t xml:space="preserve">2026-10-22</t>
        </is>
      </c>
      <c r="B11" t="inlineStr">
        <is>
          <t xml:space="preserve">News-Medical</t>
        </is>
      </c>
      <c r="C11" t="inlineStr">
        <is>
          <t xml:space="preserve">Depression profile linked to disrupted sleep and poorer treatment responses</t>
        </is>
      </c>
      <c r="D11" t="inlineStr">
        <is>
          <t xml:space="preserve">This study uncovers a circadian depression subtype, revealing links between sleep patterns, symptom severity, and antidepressant response in a large cohort.</t>
        </is>
      </c>
      <c r="E11" t="inlineStr">
        <is>
          <t xml:space="preserve"/>
        </is>
      </c>
      <c r="F11" t="inlineStr">
        <is>
          <t xml:space="preserve">2026-10-24</t>
        </is>
      </c>
      <c r="G11" s="3" t="str">
        <f>HYPERLINK("https://www.news-medical.net/news/20261022/Depression-profile-linked-to-disrupted-sleep-and-poorer-treatment-responses.aspx","https://www.news-medical.net/news/20261022/Depression-profile-linked-to-disrupted-sleep-and-poorer-treatment-responses.aspx")</f>
        <v>https://www.news-medical.net/news/20261022/Depression-profile-linked-to-disrupted-sleep-and-poorer-treatment-responses.aspx</v>
      </c>
    </row>
    <row r="12">
      <c r="A12" t="inlineStr">
        <is>
          <t xml:space="preserve">2026-10-22</t>
        </is>
      </c>
      <c r="B12" t="inlineStr">
        <is>
          <t xml:space="preserve">The Transmitter</t>
        </is>
      </c>
      <c r="C12" t="inlineStr">
        <is>
          <t xml:space="preserve">Prevalence of profound autism declines with new definition</t>
        </is>
      </c>
      <c r="D12" t="inlineStr">
        <is>
          <t xml:space="preserve">The updated, more precise definition used in a CDC study includes adaptive scores.</t>
        </is>
      </c>
      <c r="E12" t="inlineStr">
        <is>
          <t xml:space="preserve"/>
        </is>
      </c>
      <c r="F12" t="inlineStr">
        <is>
          <t xml:space="preserve">2026-10-24</t>
        </is>
      </c>
      <c r="G12" s="3" t="str">
        <f>HYPERLINK("https://www.thetransmitter.org/spectrum/prevalence-of-profound-autism-declines-with-new-definition/","https://www.thetransmitter.org/spectrum/prevalence-of-profound-autism-declines-with-new-definition/")</f>
        <v>https://www.thetransmitter.org/spectrum/prevalence-of-profound-autism-declines-with-new-definition/</v>
      </c>
    </row>
    <row r="13">
      <c r="A13" t="inlineStr">
        <is>
          <t xml:space="preserve">2026-10-21</t>
        </is>
      </c>
      <c r="B13" t="inlineStr">
        <is>
          <t xml:space="preserve">News-Medical</t>
        </is>
      </c>
      <c r="C13" t="inlineStr">
        <is>
          <t xml:space="preserve">Global study aims to map brain changes across eight psychiatric disorders</t>
        </is>
      </c>
      <c r="D13" t="inlineStr">
        <is>
          <t xml:space="preserve">Researchers from the Mark and Mary Stevens Neuroimaging and Informatics Institute (Stevens INI) at the Keck School of Medicine of USC will lead a worldwide effort to map how eight common psychiatric disorders affect brain function, supported by a five-year, $3.2 million grant from the National Institutes of Health.</t>
        </is>
      </c>
      <c r="E13" t="inlineStr">
        <is>
          <t xml:space="preserve"/>
        </is>
      </c>
      <c r="F13" t="inlineStr">
        <is>
          <t xml:space="preserve">2026-10-24</t>
        </is>
      </c>
      <c r="G13" s="3" t="str">
        <f>HYPERLINK("https://www.news-medical.net/news/20261021/Global-study-aims-to-map-brain-changes-across-eight-psychiatric-disorders.aspx","https://www.news-medical.net/news/20261021/Global-study-aims-to-map-brain-changes-across-eight-psychiatric-disorders.aspx")</f>
        <v>https://www.news-medical.net/news/20261021/Global-study-aims-to-map-brain-changes-across-eight-psychiatric-disorders.aspx</v>
      </c>
    </row>
    <row r="14">
      <c r="A14" t="inlineStr">
        <is>
          <t xml:space="preserve">2026-10-21</t>
        </is>
      </c>
      <c r="B14" t="inlineStr">
        <is>
          <t xml:space="preserve">News-Medical</t>
        </is>
      </c>
      <c r="C14" t="inlineStr">
        <is>
          <t xml:space="preserve">Prenatal iron deficiency linked to lasting changes in the offspring brain</t>
        </is>
      </c>
      <c r="D14" t="inlineStr">
        <is>
          <t xml:space="preserve">During the first weeks of pregnancy, developing cells are already laying the foundation for the brain. Iron plays a major role in the organization and shaping of cells during this stage of gestation.</t>
        </is>
      </c>
      <c r="E14" t="inlineStr">
        <is>
          <t xml:space="preserve"/>
        </is>
      </c>
      <c r="F14" t="inlineStr">
        <is>
          <t xml:space="preserve">2026-10-24</t>
        </is>
      </c>
      <c r="G14" s="3" t="str">
        <f>HYPERLINK("https://www.news-medical.net/news/20261021/Prenatal-iron-deficiency-linked-to-lasting-changes-in-the-offspring-brain.aspx","https://www.news-medical.net/news/20261021/Prenatal-iron-deficiency-linked-to-lasting-changes-in-the-offspring-brain.aspx")</f>
        <v>https://www.news-medical.net/news/20261021/Prenatal-iron-deficiency-linked-to-lasting-changes-in-the-offspring-brain.aspx</v>
      </c>
    </row>
    <row r="15">
      <c r="A15" t="inlineStr">
        <is>
          <t xml:space="preserve">2026-10-21</t>
        </is>
      </c>
      <c r="B15" t="inlineStr">
        <is>
          <t xml:space="preserve">News-Medical</t>
        </is>
      </c>
      <c r="C15" t="inlineStr">
        <is>
          <t xml:space="preserve">Japanese study links postpartum depression to mother-infant bonding difficulties</t>
        </is>
      </c>
      <c r="D15" t="inlineStr">
        <is>
          <t xml:space="preserve">A Japanese study found that higher postpartum depression scores were associated with greater mother–infant bonding difficulties.</t>
        </is>
      </c>
      <c r="E15" t="inlineStr">
        <is>
          <t xml:space="preserve"/>
        </is>
      </c>
      <c r="F15" t="inlineStr">
        <is>
          <t xml:space="preserve">2026-10-24</t>
        </is>
      </c>
      <c r="G15" s="3" t="str">
        <f>HYPERLINK("https://www.news-medical.net/news/20261021/Japanese-study-links-postpartum-depression-to-mother-infant-bonding-difficulties.aspx","https://www.news-medical.net/news/20261021/Japanese-study-links-postpartum-depression-to-mother-infant-bonding-difficulties.aspx")</f>
        <v>https://www.news-medical.net/news/20261021/Japanese-study-links-postpartum-depression-to-mother-infant-bonding-difficulties.aspx</v>
      </c>
    </row>
  </sheetData>
  <autoFilter ref="A2:G15"/>
</worksheet>
</file>

<file path=xl/worksheets/sheet7.xml><?xml version="1.0" encoding="utf-8"?>
<worksheet xmlns="http://schemas.openxmlformats.org/spreadsheetml/2006/main">
  <dimension ref="A1:L27"/>
  <sheetViews>
    <sheetView workbookViewId="0">
      <pane ySplit="2" topLeftCell="A3" activePane="bottomLeft" state="frozen"/>
    </sheetView>
  </sheetViews>
  <cols>
    <col min="1" max="1" width="15"/>
    <col min="2" max="2" width="12"/>
    <col min="3" max="3" width="12"/>
    <col min="4" max="4" width="70"/>
    <col min="5" max="5" width="36"/>
    <col min="6" max="6" width="9"/>
    <col min="7" max="7" width="10"/>
    <col min="8" max="8" width="22"/>
    <col min="9" max="9" width="10"/>
    <col min="10" max="10" width="18"/>
    <col min="11" max="11" width="10"/>
    <col min="12" max="12" width="43"/>
  </cols>
  <sheetData>
    <row r="1">
      <c r="A1" s="2" t="inlineStr">
        <is>
          <t xml:space="preserve">Author papers — nothing in the last 7 days — the 25 most recent instead · counts when: first seen by the tracker, or publication date</t>
        </is>
      </c>
    </row>
    <row r="2">
      <c r="A2" s="1" t="inlineStr">
        <is>
          <t xml:space="preserve">Author</t>
        </is>
      </c>
      <c r="B2" s="1" t="inlineStr">
        <is>
          <t xml:space="preserve">Published</t>
        </is>
      </c>
      <c r="C2" s="1" t="inlineStr">
        <is>
          <t xml:space="preserve">First seen</t>
        </is>
      </c>
      <c r="D2" s="1" t="inlineStr">
        <is>
          <t xml:space="preserve">Title</t>
        </is>
      </c>
      <c r="E2" s="1" t="inlineStr">
        <is>
          <t xml:space="preserve">Journal</t>
        </is>
      </c>
      <c r="F2" s="1" t="inlineStr">
        <is>
          <t xml:space="preserve">Role</t>
        </is>
      </c>
      <c r="G2" s="1" t="inlineStr">
        <is>
          <t xml:space="preserve">Position</t>
        </is>
      </c>
      <c r="H2" s="1" t="inlineStr">
        <is>
          <t xml:space="preserve">Priority</t>
        </is>
      </c>
      <c r="I2" s="1" t="inlineStr">
        <is>
          <t xml:space="preserve">Preprint</t>
        </is>
      </c>
      <c r="J2" s="1" t="inlineStr">
        <is>
          <t xml:space="preserve">Match confidence</t>
        </is>
      </c>
      <c r="K2" s="1" t="inlineStr">
        <is>
          <t xml:space="preserve">PMID</t>
        </is>
      </c>
      <c r="L2" s="1" t="inlineStr">
        <is>
          <t xml:space="preserve">URL</t>
        </is>
      </c>
    </row>
    <row r="3">
      <c r="A3" t="inlineStr">
        <is>
          <t xml:space="preserve">Gloria B Choi</t>
        </is>
      </c>
      <c r="B3" t="inlineStr">
        <is>
          <t xml:space="preserve">2026-10-01</t>
        </is>
      </c>
      <c r="C3" t="inlineStr">
        <is>
          <t xml:space="preserve">2026-10-15</t>
        </is>
      </c>
      <c r="D3" t="inlineStr">
        <is>
          <t xml:space="preserve">Editorial Expression of Concern: Maternal gut bacteria promote neurodevelopmental abnormalities in mouse offspring.</t>
        </is>
      </c>
      <c r="E3" t="inlineStr">
        <is>
          <t xml:space="preserve">Nature</t>
        </is>
      </c>
      <c r="F3" t="inlineStr">
        <is>
          <t xml:space="preserve">middle</t>
        </is>
      </c>
      <c r="G3" t="inlineStr">
        <is>
          <t xml:space="preserve">10/11</t>
        </is>
      </c>
      <c r="H3" t="inlineStr">
        <is>
          <t xml:space="preserve">other</t>
        </is>
      </c>
      <c r="I3" t="inlineStr">
        <is>
          <t xml:space="preserve"/>
        </is>
      </c>
      <c r="J3" t="inlineStr">
        <is>
          <t xml:space="preserve">affiliation</t>
        </is>
      </c>
      <c r="K3" t="inlineStr">
        <is>
          <t xml:space="preserve">42850426</t>
        </is>
      </c>
      <c r="L3" s="3" t="str">
        <f>HYPERLINK("https://pubmed.ncbi.nlm.nih.gov/42850426/","https://pubmed.ncbi.nlm.nih.gov/42850426/")</f>
        <v>https://pubmed.ncbi.nlm.nih.gov/42850426/</v>
      </c>
    </row>
    <row r="4">
      <c r="A4" t="inlineStr">
        <is>
          <t xml:space="preserve">Jun R Huh</t>
        </is>
      </c>
      <c r="B4" t="inlineStr">
        <is>
          <t xml:space="preserve">2026-10-01</t>
        </is>
      </c>
      <c r="C4" t="inlineStr">
        <is>
          <t xml:space="preserve">2026-10-15</t>
        </is>
      </c>
      <c r="D4" t="inlineStr">
        <is>
          <t xml:space="preserve">Editorial Expression of Concern: Maternal gut bacteria promote neurodevelopmental abnormalities in mouse offspring.</t>
        </is>
      </c>
      <c r="E4" t="inlineStr">
        <is>
          <t xml:space="preserve">Nature</t>
        </is>
      </c>
      <c r="F4" t="inlineStr">
        <is>
          <t xml:space="preserve">senior</t>
        </is>
      </c>
      <c r="G4" t="inlineStr">
        <is>
          <t xml:space="preserve">11/11</t>
        </is>
      </c>
      <c r="H4" t="inlineStr">
        <is>
          <t xml:space="preserve">other</t>
        </is>
      </c>
      <c r="I4" t="inlineStr">
        <is>
          <t xml:space="preserve"/>
        </is>
      </c>
      <c r="J4" t="inlineStr">
        <is>
          <t xml:space="preserve">affiliation</t>
        </is>
      </c>
      <c r="K4" t="inlineStr">
        <is>
          <t xml:space="preserve">42850426</t>
        </is>
      </c>
      <c r="L4" s="3" t="str">
        <f>HYPERLINK("https://pubmed.ncbi.nlm.nih.gov/42850426/","https://pubmed.ncbi.nlm.nih.gov/42850426/")</f>
        <v>https://pubmed.ncbi.nlm.nih.gov/42850426/</v>
      </c>
    </row>
    <row r="5">
      <c r="A5" t="inlineStr">
        <is>
          <t xml:space="preserve">Jun R Huh</t>
        </is>
      </c>
      <c r="B5" t="inlineStr">
        <is>
          <t xml:space="preserve">2026-09-30</t>
        </is>
      </c>
      <c r="C5" t="inlineStr">
        <is>
          <t xml:space="preserve">2026-10-07</t>
        </is>
      </c>
      <c r="D5" t="inlineStr">
        <is>
          <t xml:space="preserve">GPCR antagonism via rewiring of receptor trafficking and degradation.</t>
        </is>
      </c>
      <c r="E5" t="inlineStr">
        <is>
          <t xml:space="preserve">Nature</t>
        </is>
      </c>
      <c r="F5" t="inlineStr">
        <is>
          <t xml:space="preserve">middle</t>
        </is>
      </c>
      <c r="G5" t="inlineStr">
        <is>
          <t xml:space="preserve">15/17</t>
        </is>
      </c>
      <c r="H5" t="inlineStr">
        <is>
          <t xml:space="preserve">mechanistic</t>
        </is>
      </c>
      <c r="I5" t="inlineStr">
        <is>
          <t xml:space="preserve"/>
        </is>
      </c>
      <c r="J5" t="inlineStr">
        <is>
          <t xml:space="preserve">orcid</t>
        </is>
      </c>
      <c r="K5" t="inlineStr">
        <is>
          <t xml:space="preserve">42816619</t>
        </is>
      </c>
      <c r="L5" s="3" t="str">
        <f>HYPERLINK("https://pubmed.ncbi.nlm.nih.gov/42816619/","https://pubmed.ncbi.nlm.nih.gov/42816619/")</f>
        <v>https://pubmed.ncbi.nlm.nih.gov/42816619/</v>
      </c>
    </row>
    <row r="6">
      <c r="A6" t="inlineStr">
        <is>
          <t xml:space="preserve">Jun R Huh</t>
        </is>
      </c>
      <c r="B6" t="inlineStr">
        <is>
          <t xml:space="preserve">2026-09-22</t>
        </is>
      </c>
      <c r="C6" t="inlineStr">
        <is>
          <t xml:space="preserve">2026-09-28</t>
        </is>
      </c>
      <c r="D6" t="inlineStr">
        <is>
          <t xml:space="preserve">Multimodal Portable Donor Organ Assessment Device.</t>
        </is>
      </c>
      <c r="E6" t="inlineStr">
        <is>
          <t xml:space="preserve">IEEE Trans Biomed Eng</t>
        </is>
      </c>
      <c r="F6" t="inlineStr">
        <is>
          <t xml:space="preserve">middle</t>
        </is>
      </c>
      <c r="G6" t="inlineStr">
        <is>
          <t xml:space="preserve">5/8</t>
        </is>
      </c>
      <c r="H6" t="inlineStr">
        <is>
          <t xml:space="preserve">unclassified</t>
        </is>
      </c>
      <c r="I6" t="inlineStr">
        <is>
          <t xml:space="preserve"/>
        </is>
      </c>
      <c r="J6" t="inlineStr">
        <is>
          <t xml:space="preserve">coauthor</t>
        </is>
      </c>
      <c r="K6" t="inlineStr">
        <is>
          <t xml:space="preserve">42776874</t>
        </is>
      </c>
      <c r="L6" s="3" t="str">
        <f>HYPERLINK("https://pubmed.ncbi.nlm.nih.gov/42776874/","https://pubmed.ncbi.nlm.nih.gov/42776874/")</f>
        <v>https://pubmed.ncbi.nlm.nih.gov/42776874/</v>
      </c>
    </row>
    <row r="7">
      <c r="A7" t="inlineStr">
        <is>
          <t xml:space="preserve">John R Pruett</t>
        </is>
      </c>
      <c r="B7" t="inlineStr">
        <is>
          <t xml:space="preserve">2026-09-01</t>
        </is>
      </c>
      <c r="C7" t="inlineStr">
        <is>
          <t xml:space="preserve">2026-08-12</t>
        </is>
      </c>
      <c r="D7" t="inlineStr">
        <is>
          <t xml:space="preserve">Visual Cortical Response Variability in Infants at High Familial Likelihood for Autism.</t>
        </is>
      </c>
      <c r="E7" t="inlineStr">
        <is>
          <t xml:space="preserve">Dev Sci</t>
        </is>
      </c>
      <c r="F7" t="inlineStr">
        <is>
          <t xml:space="preserve">middle</t>
        </is>
      </c>
      <c r="G7" t="inlineStr">
        <is>
          <t xml:space="preserve">21/23</t>
        </is>
      </c>
      <c r="H7" t="inlineStr">
        <is>
          <t xml:space="preserve">unclassified</t>
        </is>
      </c>
      <c r="I7" t="inlineStr">
        <is>
          <t xml:space="preserve"/>
        </is>
      </c>
      <c r="J7" t="inlineStr">
        <is>
          <t xml:space="preserve">affiliation</t>
        </is>
      </c>
      <c r="K7" t="inlineStr">
        <is>
          <t xml:space="preserve">42557909</t>
        </is>
      </c>
      <c r="L7" s="3" t="str">
        <f>HYPERLINK("https://pubmed.ncbi.nlm.nih.gov/42557909/","https://pubmed.ncbi.nlm.nih.gov/42557909/")</f>
        <v>https://pubmed.ncbi.nlm.nih.gov/42557909/</v>
      </c>
    </row>
    <row r="8">
      <c r="A8" t="inlineStr">
        <is>
          <t xml:space="preserve">Jun R Huh</t>
        </is>
      </c>
      <c r="B8" t="inlineStr">
        <is>
          <t xml:space="preserve">2026-08-29</t>
        </is>
      </c>
      <c r="C8" t="inlineStr">
        <is>
          <t xml:space="preserve">2026-08-31</t>
        </is>
      </c>
      <c r="D8" t="inlineStr">
        <is>
          <t xml:space="preserve">Engineering Piezo1-Mediated Calcium Signalling for Enhanced Extracellular Vesicle Biogenesis and Cargo Loading.</t>
        </is>
      </c>
      <c r="E8" t="inlineStr">
        <is>
          <t xml:space="preserve">J Extracell Biol</t>
        </is>
      </c>
      <c r="F8" t="inlineStr">
        <is>
          <t xml:space="preserve">middle</t>
        </is>
      </c>
      <c r="G8" t="inlineStr">
        <is>
          <t xml:space="preserve">8/11</t>
        </is>
      </c>
      <c r="H8" t="inlineStr">
        <is>
          <t xml:space="preserve">unclassified</t>
        </is>
      </c>
      <c r="I8" t="inlineStr">
        <is>
          <t xml:space="preserve"/>
        </is>
      </c>
      <c r="J8" t="inlineStr">
        <is>
          <t xml:space="preserve">affiliation</t>
        </is>
      </c>
      <c r="K8" t="inlineStr">
        <is>
          <t xml:space="preserve">42669009</t>
        </is>
      </c>
      <c r="L8" s="3" t="str">
        <f>HYPERLINK("https://pubmed.ncbi.nlm.nih.gov/42669009/","https://pubmed.ncbi.nlm.nih.gov/42669009/")</f>
        <v>https://pubmed.ncbi.nlm.nih.gov/42669009/</v>
      </c>
    </row>
    <row r="9">
      <c r="A9" t="inlineStr">
        <is>
          <t xml:space="preserve">Ami Klin</t>
        </is>
      </c>
      <c r="B9" t="inlineStr">
        <is>
          <t xml:space="preserve">2026-04-09</t>
        </is>
      </c>
      <c r="C9" t="inlineStr">
        <is>
          <t xml:space="preserve">2026-08-12</t>
        </is>
      </c>
      <c r="D9" t="inlineStr">
        <is>
          <t xml:space="preserve">Latent trajectories of early social communication development are associated with autism diagnosis and language outcomes.</t>
        </is>
      </c>
      <c r="E9" t="inlineStr">
        <is>
          <t xml:space="preserve">Front Child Adolesc Psychiatry</t>
        </is>
      </c>
      <c r="F9" t="inlineStr">
        <is>
          <t xml:space="preserve">senior</t>
        </is>
      </c>
      <c r="G9" t="inlineStr">
        <is>
          <t xml:space="preserve">6/6</t>
        </is>
      </c>
      <c r="H9" t="inlineStr">
        <is>
          <t xml:space="preserve">unclassified</t>
        </is>
      </c>
      <c r="I9" t="inlineStr">
        <is>
          <t xml:space="preserve"/>
        </is>
      </c>
      <c r="J9" t="inlineStr">
        <is>
          <t xml:space="preserve">affiliation</t>
        </is>
      </c>
      <c r="K9" t="inlineStr">
        <is>
          <t xml:space="preserve">42038065</t>
        </is>
      </c>
      <c r="L9" s="3" t="str">
        <f>HYPERLINK("https://pubmed.ncbi.nlm.nih.gov/42038065/","https://pubmed.ncbi.nlm.nih.gov/42038065/")</f>
        <v>https://pubmed.ncbi.nlm.nih.gov/42038065/</v>
      </c>
    </row>
    <row r="10">
      <c r="A10" t="inlineStr">
        <is>
          <t xml:space="preserve">Ami Klin</t>
        </is>
      </c>
      <c r="B10" t="inlineStr">
        <is>
          <t xml:space="preserve">2026-04-08</t>
        </is>
      </c>
      <c r="C10" t="inlineStr">
        <is>
          <t xml:space="preserve">2026-08-12</t>
        </is>
      </c>
      <c r="D10" t="inlineStr">
        <is>
          <t xml:space="preserve">Social Visual Engagement in Preterm and Term Children With Autism: Consistent Eye-tracking Patterns Irrespective of Gestational Age.</t>
        </is>
      </c>
      <c r="E10" t="inlineStr">
        <is>
          <t xml:space="preserve">J Dev Behav Pediatr</t>
        </is>
      </c>
      <c r="F10" t="inlineStr">
        <is>
          <t xml:space="preserve">middle</t>
        </is>
      </c>
      <c r="G10" t="inlineStr">
        <is>
          <t xml:space="preserve">6/7</t>
        </is>
      </c>
      <c r="H10" t="inlineStr">
        <is>
          <t xml:space="preserve">unclassified</t>
        </is>
      </c>
      <c r="I10" t="inlineStr">
        <is>
          <t xml:space="preserve"/>
        </is>
      </c>
      <c r="J10" t="inlineStr">
        <is>
          <t xml:space="preserve">coauthor</t>
        </is>
      </c>
      <c r="K10" t="inlineStr">
        <is>
          <t xml:space="preserve">41949472</t>
        </is>
      </c>
      <c r="L10" s="3" t="str">
        <f>HYPERLINK("https://pubmed.ncbi.nlm.nih.gov/41949472/","https://pubmed.ncbi.nlm.nih.gov/41949472/")</f>
        <v>https://pubmed.ncbi.nlm.nih.gov/41949472/</v>
      </c>
    </row>
    <row r="11">
      <c r="A11" t="inlineStr">
        <is>
          <t xml:space="preserve">Ami Klin</t>
        </is>
      </c>
      <c r="B11" t="inlineStr">
        <is>
          <t xml:space="preserve">2025-11-19</t>
        </is>
      </c>
      <c r="C11" t="inlineStr">
        <is>
          <t xml:space="preserve">2026-08-12</t>
        </is>
      </c>
      <c r="D11" t="inlineStr">
        <is>
          <t xml:space="preserve">Common and rare variant genetic contributions in African Americans with autism.</t>
        </is>
      </c>
      <c r="E11" t="inlineStr">
        <is>
          <t xml:space="preserve">medRxiv</t>
        </is>
      </c>
      <c r="F11" t="inlineStr">
        <is>
          <t xml:space="preserve">middle</t>
        </is>
      </c>
      <c r="G11" t="inlineStr">
        <is>
          <t xml:space="preserve">37/40</t>
        </is>
      </c>
      <c r="H11" t="inlineStr">
        <is>
          <t xml:space="preserve">clinical-observation</t>
        </is>
      </c>
      <c r="I11" t="inlineStr">
        <is>
          <t xml:space="preserve">yes</t>
        </is>
      </c>
      <c r="J11" t="inlineStr">
        <is>
          <t xml:space="preserve">affiliation</t>
        </is>
      </c>
      <c r="K11" t="inlineStr">
        <is>
          <t xml:space="preserve">41332866</t>
        </is>
      </c>
      <c r="L11" s="3" t="str">
        <f>HYPERLINK("https://pubmed.ncbi.nlm.nih.gov/41332866/","https://pubmed.ncbi.nlm.nih.gov/41332866/")</f>
        <v>https://pubmed.ncbi.nlm.nih.gov/41332866/</v>
      </c>
    </row>
    <row r="12">
      <c r="A12" t="inlineStr">
        <is>
          <t xml:space="preserve">Ami Klin</t>
        </is>
      </c>
      <c r="B12" t="inlineStr">
        <is>
          <t xml:space="preserve">2025-08-01</t>
        </is>
      </c>
      <c r="C12" t="inlineStr">
        <is>
          <t xml:space="preserve">2026-08-12</t>
        </is>
      </c>
      <c r="D12" t="inlineStr">
        <is>
          <t xml:space="preserve">Sex-Related Measurement Bias in Autism Spectrum Disorder Symptoms in the Baby Siblings Research Consortium.</t>
        </is>
      </c>
      <c r="E12" t="inlineStr">
        <is>
          <t xml:space="preserve">JAMA Netw Open</t>
        </is>
      </c>
      <c r="F12" t="inlineStr">
        <is>
          <t xml:space="preserve">middle</t>
        </is>
      </c>
      <c r="G12" t="inlineStr">
        <is>
          <t xml:space="preserve">7/29</t>
        </is>
      </c>
      <c r="H12" t="inlineStr">
        <is>
          <t xml:space="preserve">clinical-observation</t>
        </is>
      </c>
      <c r="I12" t="inlineStr">
        <is>
          <t xml:space="preserve"/>
        </is>
      </c>
      <c r="J12" t="inlineStr">
        <is>
          <t xml:space="preserve">affiliation</t>
        </is>
      </c>
      <c r="K12" t="inlineStr">
        <is>
          <t xml:space="preserve">40779266</t>
        </is>
      </c>
      <c r="L12" s="3" t="str">
        <f>HYPERLINK("https://pubmed.ncbi.nlm.nih.gov/40779266/","https://pubmed.ncbi.nlm.nih.gov/40779266/")</f>
        <v>https://pubmed.ncbi.nlm.nih.gov/40779266/</v>
      </c>
    </row>
    <row r="13">
      <c r="A13" t="inlineStr">
        <is>
          <t xml:space="preserve">Ami Klin</t>
        </is>
      </c>
      <c r="B13" t="inlineStr">
        <is>
          <t xml:space="preserve">2025-05-01</t>
        </is>
      </c>
      <c r="C13" t="inlineStr">
        <is>
          <t xml:space="preserve">2026-08-12</t>
        </is>
      </c>
      <c r="D13" t="inlineStr">
        <is>
          <t xml:space="preserve">Increasing Access to Early Diagnosis and Assessment of Autism Via Biomarker-Based Measurements of Social Visual Engagement.</t>
        </is>
      </c>
      <c r="E13" t="inlineStr">
        <is>
          <t xml:space="preserve">Am J Intellect Dev Disabil</t>
        </is>
      </c>
      <c r="F13" t="inlineStr">
        <is>
          <t xml:space="preserve">solo</t>
        </is>
      </c>
      <c r="G13" t="inlineStr">
        <is>
          <t xml:space="preserve">1/1</t>
        </is>
      </c>
      <c r="H13" t="inlineStr">
        <is>
          <t xml:space="preserve">translational</t>
        </is>
      </c>
      <c r="I13" t="inlineStr">
        <is>
          <t xml:space="preserve"/>
        </is>
      </c>
      <c r="J13" t="inlineStr">
        <is>
          <t xml:space="preserve">affiliation</t>
        </is>
      </c>
      <c r="K13" t="inlineStr">
        <is>
          <t xml:space="preserve">40288772</t>
        </is>
      </c>
      <c r="L13" s="3" t="str">
        <f>HYPERLINK("https://pubmed.ncbi.nlm.nih.gov/40288772/","https://pubmed.ncbi.nlm.nih.gov/40288772/")</f>
        <v>https://pubmed.ncbi.nlm.nih.gov/40288772/</v>
      </c>
    </row>
    <row r="14">
      <c r="A14" t="inlineStr">
        <is>
          <t xml:space="preserve">Ami Klin</t>
        </is>
      </c>
      <c r="B14" t="inlineStr">
        <is>
          <t xml:space="preserve">2024-03-01</t>
        </is>
      </c>
      <c r="C14" t="inlineStr">
        <is>
          <t xml:space="preserve">2026-08-12</t>
        </is>
      </c>
      <c r="D14" t="inlineStr">
        <is>
          <t xml:space="preserve">A biomarker-based solution for the limited access to early diagnosis and assessment of autism.</t>
        </is>
      </c>
      <c r="E14" t="inlineStr">
        <is>
          <t xml:space="preserve">Medicina (B Aires)</t>
        </is>
      </c>
      <c r="F14" t="inlineStr">
        <is>
          <t xml:space="preserve">solo</t>
        </is>
      </c>
      <c r="G14" t="inlineStr">
        <is>
          <t xml:space="preserve">1/1</t>
        </is>
      </c>
      <c r="H14" t="inlineStr">
        <is>
          <t xml:space="preserve">translational</t>
        </is>
      </c>
      <c r="I14" t="inlineStr">
        <is>
          <t xml:space="preserve"/>
        </is>
      </c>
      <c r="J14" t="inlineStr">
        <is>
          <t xml:space="preserve">affiliation</t>
        </is>
      </c>
      <c r="K14" t="inlineStr">
        <is>
          <t xml:space="preserve">38350625</t>
        </is>
      </c>
      <c r="L14" s="3" t="str">
        <f>HYPERLINK("https://pubmed.ncbi.nlm.nih.gov/38350625/","https://pubmed.ncbi.nlm.nih.gov/38350625/")</f>
        <v>https://pubmed.ncbi.nlm.nih.gov/38350625/</v>
      </c>
    </row>
    <row r="15">
      <c r="A15" t="inlineStr">
        <is>
          <t xml:space="preserve">Ami Klin</t>
        </is>
      </c>
      <c r="B15" t="inlineStr">
        <is>
          <t xml:space="preserve">2024-02-17</t>
        </is>
      </c>
      <c r="C15" t="inlineStr">
        <is>
          <t xml:space="preserve">2026-08-12</t>
        </is>
      </c>
      <c r="D15" t="inlineStr">
        <is>
          <t xml:space="preserve">The Intersection of Autism Spectrum Disorder, Food Allergy, and Avoidant/Restrictive Food Intake Disorder: A Clinical Case Study.</t>
        </is>
      </c>
      <c r="E15" t="inlineStr">
        <is>
          <t xml:space="preserve">J Pediatr</t>
        </is>
      </c>
      <c r="F15" t="inlineStr">
        <is>
          <t xml:space="preserve">middle</t>
        </is>
      </c>
      <c r="G15" t="inlineStr">
        <is>
          <t xml:space="preserve">3/5</t>
        </is>
      </c>
      <c r="H15" t="inlineStr">
        <is>
          <t xml:space="preserve">clinical-observation</t>
        </is>
      </c>
      <c r="I15" t="inlineStr">
        <is>
          <t xml:space="preserve"/>
        </is>
      </c>
      <c r="J15" t="inlineStr">
        <is>
          <t xml:space="preserve">affiliation</t>
        </is>
      </c>
      <c r="K15" t="inlineStr">
        <is>
          <t xml:space="preserve">38369235</t>
        </is>
      </c>
      <c r="L15" s="3" t="str">
        <f>HYPERLINK("https://pubmed.ncbi.nlm.nih.gov/38369235/","https://pubmed.ncbi.nlm.nih.gov/38369235/")</f>
        <v>https://pubmed.ncbi.nlm.nih.gov/38369235/</v>
      </c>
    </row>
    <row r="16">
      <c r="A16" t="inlineStr">
        <is>
          <t xml:space="preserve">Ami Klin</t>
        </is>
      </c>
      <c r="B16" t="inlineStr">
        <is>
          <t xml:space="preserve">2024-02-15</t>
        </is>
      </c>
      <c r="C16" t="inlineStr">
        <is>
          <t xml:space="preserve">2026-08-12</t>
        </is>
      </c>
      <c r="D16" t="inlineStr">
        <is>
          <t xml:space="preserve">Access to Part C, Early Intervention for children younger than 4 years evaluated for autism spectrum disorder.</t>
        </is>
      </c>
      <c r="E16" t="inlineStr">
        <is>
          <t xml:space="preserve">Autism</t>
        </is>
      </c>
      <c r="F16" t="inlineStr">
        <is>
          <t xml:space="preserve">middle</t>
        </is>
      </c>
      <c r="G16" t="inlineStr">
        <is>
          <t xml:space="preserve">4/6</t>
        </is>
      </c>
      <c r="H16" t="inlineStr">
        <is>
          <t xml:space="preserve">unclassified</t>
        </is>
      </c>
      <c r="I16" t="inlineStr">
        <is>
          <t xml:space="preserve"/>
        </is>
      </c>
      <c r="J16" t="inlineStr">
        <is>
          <t xml:space="preserve">affiliation</t>
        </is>
      </c>
      <c r="K16" t="inlineStr">
        <is>
          <t xml:space="preserve">38360525</t>
        </is>
      </c>
      <c r="L16" s="3" t="str">
        <f>HYPERLINK("https://pubmed.ncbi.nlm.nih.gov/38360525/","https://pubmed.ncbi.nlm.nih.gov/38360525/")</f>
        <v>https://pubmed.ncbi.nlm.nih.gov/38360525/</v>
      </c>
    </row>
    <row r="17">
      <c r="A17" t="inlineStr">
        <is>
          <t xml:space="preserve">Ami Klin</t>
        </is>
      </c>
      <c r="B17" t="inlineStr">
        <is>
          <t xml:space="preserve">2024-01-16</t>
        </is>
      </c>
      <c r="C17" t="inlineStr">
        <is>
          <t xml:space="preserve">2026-08-12</t>
        </is>
      </c>
      <c r="D17" t="inlineStr">
        <is>
          <t xml:space="preserve">Diagnosis of Autism-Reply.</t>
        </is>
      </c>
      <c r="E17" t="inlineStr">
        <is>
          <t xml:space="preserve">JAMA</t>
        </is>
      </c>
      <c r="F17" t="inlineStr">
        <is>
          <t xml:space="preserve">senior</t>
        </is>
      </c>
      <c r="G17" t="inlineStr">
        <is>
          <t xml:space="preserve">3/3</t>
        </is>
      </c>
      <c r="H17" t="inlineStr">
        <is>
          <t xml:space="preserve">unclassified</t>
        </is>
      </c>
      <c r="I17" t="inlineStr">
        <is>
          <t xml:space="preserve"/>
        </is>
      </c>
      <c r="J17" t="inlineStr">
        <is>
          <t xml:space="preserve">affiliation</t>
        </is>
      </c>
      <c r="K17" t="inlineStr">
        <is>
          <t xml:space="preserve">38227035</t>
        </is>
      </c>
      <c r="L17" s="3" t="str">
        <f>HYPERLINK("https://pubmed.ncbi.nlm.nih.gov/38227035/","https://pubmed.ncbi.nlm.nih.gov/38227035/")</f>
        <v>https://pubmed.ncbi.nlm.nih.gov/38227035/</v>
      </c>
    </row>
    <row r="18">
      <c r="A18" t="inlineStr">
        <is>
          <t xml:space="preserve">Ami Klin</t>
        </is>
      </c>
      <c r="B18" t="inlineStr">
        <is>
          <t xml:space="preserve">2023-09-05</t>
        </is>
      </c>
      <c r="C18" t="inlineStr">
        <is>
          <t xml:space="preserve">2026-08-12</t>
        </is>
      </c>
      <c r="D18" t="inlineStr">
        <is>
          <t xml:space="preserve">Development and Replication of Objective Measurements of Social Visual Engagement to Aid in Early Diagnosis and Assessment of Autism.</t>
        </is>
      </c>
      <c r="E18" t="inlineStr">
        <is>
          <t xml:space="preserve">JAMA Netw Open</t>
        </is>
      </c>
      <c r="F18" t="inlineStr">
        <is>
          <t xml:space="preserve">senior</t>
        </is>
      </c>
      <c r="G18" t="inlineStr">
        <is>
          <t xml:space="preserve">14/14</t>
        </is>
      </c>
      <c r="H18" t="inlineStr">
        <is>
          <t xml:space="preserve">clinical-trial</t>
        </is>
      </c>
      <c r="I18" t="inlineStr">
        <is>
          <t xml:space="preserve"/>
        </is>
      </c>
      <c r="J18" t="inlineStr">
        <is>
          <t xml:space="preserve">affiliation</t>
        </is>
      </c>
      <c r="K18" t="inlineStr">
        <is>
          <t xml:space="preserve">37669054</t>
        </is>
      </c>
      <c r="L18" s="3" t="str">
        <f>HYPERLINK("https://pubmed.ncbi.nlm.nih.gov/37669054/","https://pubmed.ncbi.nlm.nih.gov/37669054/")</f>
        <v>https://pubmed.ncbi.nlm.nih.gov/37669054/</v>
      </c>
    </row>
    <row r="19">
      <c r="A19" t="inlineStr">
        <is>
          <t xml:space="preserve">Ami Klin</t>
        </is>
      </c>
      <c r="B19" t="inlineStr">
        <is>
          <t xml:space="preserve">2023-09-05</t>
        </is>
      </c>
      <c r="C19" t="inlineStr">
        <is>
          <t xml:space="preserve">2026-08-12</t>
        </is>
      </c>
      <c r="D19" t="inlineStr">
        <is>
          <t xml:space="preserve">Eye-Tracking-Based Measurement of Social Visual Engagement Compared With Expert Clinical Diagnosis of Autism.</t>
        </is>
      </c>
      <c r="E19" t="inlineStr">
        <is>
          <t xml:space="preserve">JAMA</t>
        </is>
      </c>
      <c r="F19" t="inlineStr">
        <is>
          <t xml:space="preserve">senior</t>
        </is>
      </c>
      <c r="G19" t="inlineStr">
        <is>
          <t xml:space="preserve">14/14</t>
        </is>
      </c>
      <c r="H19" t="inlineStr">
        <is>
          <t xml:space="preserve">clinical-observation</t>
        </is>
      </c>
      <c r="I19" t="inlineStr">
        <is>
          <t xml:space="preserve"/>
        </is>
      </c>
      <c r="J19" t="inlineStr">
        <is>
          <t xml:space="preserve">affiliation</t>
        </is>
      </c>
      <c r="K19" t="inlineStr">
        <is>
          <t xml:space="preserve">37668621</t>
        </is>
      </c>
      <c r="L19" s="3" t="str">
        <f>HYPERLINK("https://pubmed.ncbi.nlm.nih.gov/37668621/","https://pubmed.ncbi.nlm.nih.gov/37668621/")</f>
        <v>https://pubmed.ncbi.nlm.nih.gov/37668621/</v>
      </c>
    </row>
    <row r="20">
      <c r="A20" t="inlineStr">
        <is>
          <t xml:space="preserve">Ami Klin</t>
        </is>
      </c>
      <c r="B20" t="inlineStr">
        <is>
          <t xml:space="preserve">2023-05-15</t>
        </is>
      </c>
      <c r="C20" t="inlineStr">
        <is>
          <t xml:space="preserve">2026-08-12</t>
        </is>
      </c>
      <c r="D20" t="inlineStr">
        <is>
          <t xml:space="preserve">Prospects for Leveling the Playing Field for Black Children With Autism.</t>
        </is>
      </c>
      <c r="E20" t="inlineStr">
        <is>
          <t xml:space="preserve">J Am Acad Child Adolesc Psychiatry</t>
        </is>
      </c>
      <c r="F20" t="inlineStr">
        <is>
          <t xml:space="preserve">middle</t>
        </is>
      </c>
      <c r="G20" t="inlineStr">
        <is>
          <t xml:space="preserve">8/9</t>
        </is>
      </c>
      <c r="H20" t="inlineStr">
        <is>
          <t xml:space="preserve">clinical-observation</t>
        </is>
      </c>
      <c r="I20" t="inlineStr">
        <is>
          <t xml:space="preserve"/>
        </is>
      </c>
      <c r="J20" t="inlineStr">
        <is>
          <t xml:space="preserve">affiliation</t>
        </is>
      </c>
      <c r="K20" t="inlineStr">
        <is>
          <t xml:space="preserve">37196781</t>
        </is>
      </c>
      <c r="L20" s="3" t="str">
        <f>HYPERLINK("https://pubmed.ncbi.nlm.nih.gov/37196781/","https://pubmed.ncbi.nlm.nih.gov/37196781/")</f>
        <v>https://pubmed.ncbi.nlm.nih.gov/37196781/</v>
      </c>
    </row>
    <row r="21">
      <c r="A21" t="inlineStr">
        <is>
          <t xml:space="preserve">Ami Klin</t>
        </is>
      </c>
      <c r="B21" t="inlineStr">
        <is>
          <t xml:space="preserve">2023-03-01</t>
        </is>
      </c>
      <c r="C21" t="inlineStr">
        <is>
          <t xml:space="preserve">2026-08-12</t>
        </is>
      </c>
      <c r="D21" t="inlineStr">
        <is>
          <t xml:space="preserve">A Comparison of the Clinical Presentation of Preterm Birth and Autism Spectrum Disorder: Commonalities and Distinctions in Children Under 3.</t>
        </is>
      </c>
      <c r="E21" t="inlineStr">
        <is>
          <t xml:space="preserve">Clin Perinatol</t>
        </is>
      </c>
      <c r="F21" t="inlineStr">
        <is>
          <t xml:space="preserve">middle</t>
        </is>
      </c>
      <c r="G21" t="inlineStr">
        <is>
          <t xml:space="preserve">5/7</t>
        </is>
      </c>
      <c r="H21" t="inlineStr">
        <is>
          <t xml:space="preserve">review</t>
        </is>
      </c>
      <c r="I21" t="inlineStr">
        <is>
          <t xml:space="preserve"/>
        </is>
      </c>
      <c r="J21" t="inlineStr">
        <is>
          <t xml:space="preserve">affiliation</t>
        </is>
      </c>
      <c r="K21" t="inlineStr">
        <is>
          <t xml:space="preserve">36868715</t>
        </is>
      </c>
      <c r="L21" s="3" t="str">
        <f>HYPERLINK("https://pubmed.ncbi.nlm.nih.gov/36868715/","https://pubmed.ncbi.nlm.nih.gov/36868715/")</f>
        <v>https://pubmed.ncbi.nlm.nih.gov/36868715/</v>
      </c>
    </row>
    <row r="22">
      <c r="A22" t="inlineStr">
        <is>
          <t xml:space="preserve">Ami Klin</t>
        </is>
      </c>
      <c r="B22" t="inlineStr">
        <is>
          <t xml:space="preserve">2023-03-01</t>
        </is>
      </c>
      <c r="C22" t="inlineStr">
        <is>
          <t xml:space="preserve">2026-08-12</t>
        </is>
      </c>
      <c r="D22" t="inlineStr">
        <is>
          <t xml:space="preserve">Translating advances in developmental social neuroscience into greater access to early diagnosis in autism spectrum disorder.</t>
        </is>
      </c>
      <c r="E22" t="inlineStr">
        <is>
          <t xml:space="preserve">Medicina (B Aires)</t>
        </is>
      </c>
      <c r="F22" t="inlineStr">
        <is>
          <t xml:space="preserve">solo</t>
        </is>
      </c>
      <c r="G22" t="inlineStr">
        <is>
          <t xml:space="preserve">1/1</t>
        </is>
      </c>
      <c r="H22" t="inlineStr">
        <is>
          <t xml:space="preserve">review</t>
        </is>
      </c>
      <c r="I22" t="inlineStr">
        <is>
          <t xml:space="preserve"/>
        </is>
      </c>
      <c r="J22" t="inlineStr">
        <is>
          <t xml:space="preserve">affiliation</t>
        </is>
      </c>
      <c r="K22" t="inlineStr">
        <is>
          <t xml:space="preserve">36820480</t>
        </is>
      </c>
      <c r="L22" s="3" t="str">
        <f>HYPERLINK("https://pubmed.ncbi.nlm.nih.gov/36820480/","https://pubmed.ncbi.nlm.nih.gov/36820480/")</f>
        <v>https://pubmed.ncbi.nlm.nih.gov/36820480/</v>
      </c>
    </row>
    <row r="23">
      <c r="A23" t="inlineStr">
        <is>
          <t xml:space="preserve">Ami Klin</t>
        </is>
      </c>
      <c r="B23" t="inlineStr">
        <is>
          <t xml:space="preserve">2023-01-11</t>
        </is>
      </c>
      <c r="C23" t="inlineStr">
        <is>
          <t xml:space="preserve">2026-08-12</t>
        </is>
      </c>
      <c r="D23" t="inlineStr">
        <is>
          <t xml:space="preserve">Infant-directed song potentiates infants' selective attention to adults' mouths over the first year of life.</t>
        </is>
      </c>
      <c r="E23" t="inlineStr">
        <is>
          <t xml:space="preserve">Dev Sci</t>
        </is>
      </c>
      <c r="F23" t="inlineStr">
        <is>
          <t xml:space="preserve">middle</t>
        </is>
      </c>
      <c r="G23" t="inlineStr">
        <is>
          <t xml:space="preserve">5/6</t>
        </is>
      </c>
      <c r="H23" t="inlineStr">
        <is>
          <t xml:space="preserve">clinical-observation</t>
        </is>
      </c>
      <c r="I23" t="inlineStr">
        <is>
          <t xml:space="preserve"/>
        </is>
      </c>
      <c r="J23" t="inlineStr">
        <is>
          <t xml:space="preserve">affiliation</t>
        </is>
      </c>
      <c r="K23" t="inlineStr">
        <is>
          <t xml:space="preserve">36527322</t>
        </is>
      </c>
      <c r="L23" s="3" t="str">
        <f>HYPERLINK("https://pubmed.ncbi.nlm.nih.gov/36527322/","https://pubmed.ncbi.nlm.nih.gov/36527322/")</f>
        <v>https://pubmed.ncbi.nlm.nih.gov/36527322/</v>
      </c>
    </row>
    <row r="24">
      <c r="A24" t="inlineStr">
        <is>
          <t xml:space="preserve">Ami Klin</t>
        </is>
      </c>
      <c r="B24" t="inlineStr">
        <is>
          <t xml:space="preserve">2022-11-17</t>
        </is>
      </c>
      <c r="C24" t="inlineStr">
        <is>
          <t xml:space="preserve">2026-08-12</t>
        </is>
      </c>
      <c r="D24" t="inlineStr">
        <is>
          <t xml:space="preserve">Expert Clinician Certainty in Diagnosing Autism Spectrum Disorder in 16-30-Month-Olds: A Multi-site Trial Secondary Analysis.</t>
        </is>
      </c>
      <c r="E24" t="inlineStr">
        <is>
          <t xml:space="preserve">J Autism Dev Disord</t>
        </is>
      </c>
      <c r="F24" t="inlineStr">
        <is>
          <t xml:space="preserve">senior</t>
        </is>
      </c>
      <c r="G24" t="inlineStr">
        <is>
          <t xml:space="preserve">19/19</t>
        </is>
      </c>
      <c r="H24" t="inlineStr">
        <is>
          <t xml:space="preserve">clinical-observation</t>
        </is>
      </c>
      <c r="I24" t="inlineStr">
        <is>
          <t xml:space="preserve"/>
        </is>
      </c>
      <c r="J24" t="inlineStr">
        <is>
          <t xml:space="preserve">orcid</t>
        </is>
      </c>
      <c r="K24" t="inlineStr">
        <is>
          <t xml:space="preserve">36396807</t>
        </is>
      </c>
      <c r="L24" s="3" t="str">
        <f>HYPERLINK("https://pubmed.ncbi.nlm.nih.gov/36396807/","https://pubmed.ncbi.nlm.nih.gov/36396807/")</f>
        <v>https://pubmed.ncbi.nlm.nih.gov/36396807/</v>
      </c>
    </row>
    <row r="25">
      <c r="A25" t="inlineStr">
        <is>
          <t xml:space="preserve">Ami Klin</t>
        </is>
      </c>
      <c r="B25" t="inlineStr">
        <is>
          <t xml:space="preserve">2022-03-01</t>
        </is>
      </c>
      <c r="C25" t="inlineStr">
        <is>
          <t xml:space="preserve">2026-08-12</t>
        </is>
      </c>
      <c r="D25" t="inlineStr">
        <is>
          <t xml:space="preserve">Measuring state-level infant and toddler well-being in the United States: Gaps in data lead to gaps in understanding.</t>
        </is>
      </c>
      <c r="E25" t="inlineStr">
        <is>
          <t xml:space="preserve">Child Indic Res</t>
        </is>
      </c>
      <c r="F25" t="inlineStr">
        <is>
          <t xml:space="preserve">senior</t>
        </is>
      </c>
      <c r="G25" t="inlineStr">
        <is>
          <t xml:space="preserve">6/6</t>
        </is>
      </c>
      <c r="H25" t="inlineStr">
        <is>
          <t xml:space="preserve">unclassified</t>
        </is>
      </c>
      <c r="I25" t="inlineStr">
        <is>
          <t xml:space="preserve"/>
        </is>
      </c>
      <c r="J25" t="inlineStr">
        <is>
          <t xml:space="preserve">orcid</t>
        </is>
      </c>
      <c r="K25" t="inlineStr">
        <is>
          <t xml:space="preserve">35924079</t>
        </is>
      </c>
      <c r="L25" s="3" t="str">
        <f>HYPERLINK("https://pubmed.ncbi.nlm.nih.gov/35924079/","https://pubmed.ncbi.nlm.nih.gov/35924079/")</f>
        <v>https://pubmed.ncbi.nlm.nih.gov/35924079/</v>
      </c>
    </row>
    <row r="26">
      <c r="A26" t="inlineStr">
        <is>
          <t xml:space="preserve">Ami Klin</t>
        </is>
      </c>
      <c r="B26" t="inlineStr">
        <is>
          <t xml:space="preserve">2022-02-02</t>
        </is>
      </c>
      <c r="C26" t="inlineStr">
        <is>
          <t xml:space="preserve">2026-08-12</t>
        </is>
      </c>
      <c r="D26" t="inlineStr">
        <is>
          <t xml:space="preserve">Frontiers in the research of autism pathogenesis.</t>
        </is>
      </c>
      <c r="E26" t="inlineStr">
        <is>
          <t xml:space="preserve">Medicina (B Aires)</t>
        </is>
      </c>
      <c r="F26" t="inlineStr">
        <is>
          <t xml:space="preserve">solo</t>
        </is>
      </c>
      <c r="G26" t="inlineStr">
        <is>
          <t xml:space="preserve">1/1</t>
        </is>
      </c>
      <c r="H26" t="inlineStr">
        <is>
          <t xml:space="preserve">review</t>
        </is>
      </c>
      <c r="I26" t="inlineStr">
        <is>
          <t xml:space="preserve"/>
        </is>
      </c>
      <c r="J26" t="inlineStr">
        <is>
          <t xml:space="preserve">affiliation</t>
        </is>
      </c>
      <c r="K26" t="inlineStr">
        <is>
          <t xml:space="preserve">35171805</t>
        </is>
      </c>
      <c r="L26" s="3" t="str">
        <f>HYPERLINK("https://pubmed.ncbi.nlm.nih.gov/35171805/","https://pubmed.ncbi.nlm.nih.gov/35171805/")</f>
        <v>https://pubmed.ncbi.nlm.nih.gov/35171805/</v>
      </c>
    </row>
    <row r="27">
      <c r="A27" t="inlineStr">
        <is>
          <t xml:space="preserve">Ami Klin</t>
        </is>
      </c>
      <c r="B27" t="inlineStr">
        <is>
          <t xml:space="preserve">2021-11-01</t>
        </is>
      </c>
      <c r="C27" t="inlineStr">
        <is>
          <t xml:space="preserve">2026-08-12</t>
        </is>
      </c>
      <c r="D27" t="inlineStr">
        <is>
          <t xml:space="preserve">Early social communication development in infants with autism spectrum disorder.</t>
        </is>
      </c>
      <c r="E27" t="inlineStr">
        <is>
          <t xml:space="preserve">Child Dev</t>
        </is>
      </c>
      <c r="F27" t="inlineStr">
        <is>
          <t xml:space="preserve">middle</t>
        </is>
      </c>
      <c r="G27" t="inlineStr">
        <is>
          <t xml:space="preserve">10/11</t>
        </is>
      </c>
      <c r="H27" t="inlineStr">
        <is>
          <t xml:space="preserve">unclassified</t>
        </is>
      </c>
      <c r="I27" t="inlineStr">
        <is>
          <t xml:space="preserve"/>
        </is>
      </c>
      <c r="J27" t="inlineStr">
        <is>
          <t xml:space="preserve">affiliation</t>
        </is>
      </c>
      <c r="K27" t="inlineStr">
        <is>
          <t xml:space="preserve">34786700</t>
        </is>
      </c>
      <c r="L27" s="3" t="str">
        <f>HYPERLINK("https://pubmed.ncbi.nlm.nih.gov/34786700/","https://pubmed.ncbi.nlm.nih.gov/34786700/")</f>
        <v>https://pubmed.ncbi.nlm.nih.gov/34786700/</v>
      </c>
    </row>
  </sheetData>
  <autoFilter ref="A2:L27"/>
</worksheet>
</file>

<file path=xl/worksheets/sheet8.xml><?xml version="1.0" encoding="utf-8"?>
<worksheet xmlns="http://schemas.openxmlformats.org/spreadsheetml/2006/main">
  <dimension ref="A1:M8"/>
  <sheetViews>
    <sheetView workbookViewId="0">
      <pane ySplit="2" topLeftCell="A3" activePane="bottomLeft" state="frozen"/>
    </sheetView>
  </sheetViews>
  <cols>
    <col min="1" max="1" width="15"/>
    <col min="2" max="2" width="14"/>
    <col min="3" max="3" width="49"/>
    <col min="4" max="4" width="21"/>
    <col min="5" max="5" width="70"/>
    <col min="6" max="6" width="15"/>
    <col min="7" max="7" width="14"/>
    <col min="8" max="8" width="16"/>
    <col min="9" max="9" width="12"/>
    <col min="10" max="10" width="24"/>
    <col min="11" max="11" width="25"/>
    <col min="12" max="12" width="14"/>
    <col min="13" max="13" width="17"/>
  </cols>
  <sheetData>
    <row r="1">
      <c r="A1" s="2" t="inlineStr">
        <is>
          <t xml:space="preserve">Tracked authors — roster with counts for the last 7 days (2026-10-21 to 2026-10-28)</t>
        </is>
      </c>
    </row>
    <row r="2">
      <c r="A2" s="1" t="inlineStr">
        <is>
          <t xml:space="preserve">Author</t>
        </is>
      </c>
      <c r="B2" s="1" t="inlineStr">
        <is>
          <t xml:space="preserve">Branch</t>
        </is>
      </c>
      <c r="C2" s="1" t="inlineStr">
        <is>
          <t xml:space="preserve">Affiliation</t>
        </is>
      </c>
      <c r="D2" s="1" t="inlineStr">
        <is>
          <t xml:space="preserve">ORCID</t>
        </is>
      </c>
      <c r="E2" s="1" t="inlineStr">
        <is>
          <t xml:space="preserve">Note</t>
        </is>
      </c>
      <c r="F2" s="1" t="inlineStr">
        <is>
          <t xml:space="preserve">Tracked since</t>
        </is>
      </c>
      <c r="G2" s="1" t="inlineStr">
        <is>
          <t xml:space="preserve">Last checked</t>
        </is>
      </c>
      <c r="H2" s="1" t="inlineStr">
        <is>
          <t xml:space="preserve">Papers tracked</t>
        </is>
      </c>
      <c r="I2" s="1" t="inlineStr">
        <is>
          <t xml:space="preserve">ASD papers</t>
        </is>
      </c>
      <c r="J2" s="1" t="inlineStr">
        <is>
          <t xml:space="preserve">New papers this window</t>
        </is>
      </c>
      <c r="K2" s="1" t="inlineStr">
        <is>
          <t xml:space="preserve">New updates this window</t>
        </is>
      </c>
      <c r="L2" s="1" t="inlineStr">
        <is>
          <t xml:space="preserve">Latest paper</t>
        </is>
      </c>
      <c r="M2" s="1" t="inlineStr">
        <is>
          <t xml:space="preserve">Awaiting review</t>
        </is>
      </c>
    </row>
    <row r="3">
      <c r="A3" t="inlineStr">
        <is>
          <t xml:space="preserve">Ami Klin</t>
        </is>
      </c>
      <c r="B3" t="inlineStr">
        <is>
          <t xml:space="preserve">behavioral</t>
        </is>
      </c>
      <c r="C3" t="inlineStr">
        <is>
          <t xml:space="preserve">Department of Pediatrics</t>
        </is>
      </c>
      <c r="D3" t="inlineStr">
        <is>
          <t xml:space="preserve">0000-0001-9500-4263</t>
        </is>
      </c>
      <c r="E3" t="inlineStr">
        <is>
          <t xml:space="preserve">Marcus Autism Center / Emory Pediatrics — eye-tracking, social visual engagement, early detection</t>
        </is>
      </c>
      <c r="F3" t="inlineStr">
        <is>
          <t xml:space="preserve">2026-08-12</t>
        </is>
      </c>
      <c r="G3" t="inlineStr">
        <is>
          <t xml:space="preserve">2026-10-24</t>
        </is>
      </c>
      <c r="H3" t="inlineStr">
        <is>
          <t xml:space="preserve">73</t>
        </is>
      </c>
      <c r="I3" t="inlineStr">
        <is>
          <t xml:space="preserve">66</t>
        </is>
      </c>
      <c r="J3" t="inlineStr">
        <is>
          <t xml:space="preserve">0</t>
        </is>
      </c>
      <c r="K3" t="inlineStr">
        <is>
          <t xml:space="preserve">0</t>
        </is>
      </c>
      <c r="L3" t="inlineStr">
        <is>
          <t xml:space="preserve">2026-04-09</t>
        </is>
      </c>
      <c r="M3" t="inlineStr">
        <is>
          <t xml:space="preserve">53</t>
        </is>
      </c>
    </row>
    <row r="4">
      <c r="A4" t="inlineStr">
        <is>
          <t xml:space="preserve">Gloria B Choi</t>
        </is>
      </c>
      <c r="B4" t="inlineStr">
        <is>
          <t xml:space="preserve">immunology</t>
        </is>
      </c>
      <c r="C4" t="inlineStr">
        <is>
          <t xml:space="preserve">The Picower Institute for Learning and Memory</t>
        </is>
      </c>
      <c r="D4" t="inlineStr">
        <is>
          <t xml:space="preserve">0000-0003-4050-8338</t>
        </is>
      </c>
      <c r="E4" t="inlineStr">
        <is>
          <t xml:space="preserve">Picower Institute, MIT — maternal immune activation, IL-17a, neuroimmune control of behaviour</t>
        </is>
      </c>
      <c r="F4" t="inlineStr">
        <is>
          <t xml:space="preserve">2026-07-20</t>
        </is>
      </c>
      <c r="G4" t="inlineStr">
        <is>
          <t xml:space="preserve">2026-10-24</t>
        </is>
      </c>
      <c r="H4" t="inlineStr">
        <is>
          <t xml:space="preserve">28</t>
        </is>
      </c>
      <c r="I4" t="inlineStr">
        <is>
          <t xml:space="preserve">12</t>
        </is>
      </c>
      <c r="J4" t="inlineStr">
        <is>
          <t xml:space="preserve">0</t>
        </is>
      </c>
      <c r="K4" t="inlineStr">
        <is>
          <t xml:space="preserve">0</t>
        </is>
      </c>
      <c r="L4" t="inlineStr">
        <is>
          <t xml:space="preserve">2026-10-01</t>
        </is>
      </c>
      <c r="M4" t="inlineStr">
        <is>
          <t xml:space="preserve">2</t>
        </is>
      </c>
    </row>
    <row r="5">
      <c r="A5" t="inlineStr">
        <is>
          <t xml:space="preserve">John R Pruett</t>
        </is>
      </c>
      <c r="B5" t="inlineStr">
        <is>
          <t xml:space="preserve">neuroscience</t>
        </is>
      </c>
      <c r="C5" t="inlineStr">
        <is>
          <t xml:space="preserve">Division of Pediatric &amp; Developmental Neurology</t>
        </is>
      </c>
      <c r="D5" t="inlineStr">
        <is>
          <t xml:space="preserve"/>
        </is>
      </c>
      <c r="E5" t="inlineStr">
        <is>
          <t xml:space="preserve">Washington University in St. Louis — IBIS Network infant neuroimaging, functional connectivity</t>
        </is>
      </c>
      <c r="F5" t="inlineStr">
        <is>
          <t xml:space="preserve">2026-08-12</t>
        </is>
      </c>
      <c r="G5" t="inlineStr">
        <is>
          <t xml:space="preserve">2026-10-24</t>
        </is>
      </c>
      <c r="H5" t="inlineStr">
        <is>
          <t xml:space="preserve">64</t>
        </is>
      </c>
      <c r="I5" t="inlineStr">
        <is>
          <t xml:space="preserve">49</t>
        </is>
      </c>
      <c r="J5" t="inlineStr">
        <is>
          <t xml:space="preserve">0</t>
        </is>
      </c>
      <c r="K5" t="inlineStr">
        <is>
          <t xml:space="preserve">0</t>
        </is>
      </c>
      <c r="L5" t="inlineStr">
        <is>
          <t xml:space="preserve">2026-09-01</t>
        </is>
      </c>
      <c r="M5" t="inlineStr">
        <is>
          <t xml:space="preserve">2</t>
        </is>
      </c>
    </row>
    <row r="6">
      <c r="A6" t="inlineStr">
        <is>
          <t xml:space="preserve">Jun R Huh</t>
        </is>
      </c>
      <c r="B6" t="inlineStr">
        <is>
          <t xml:space="preserve">immunology</t>
        </is>
      </c>
      <c r="C6" t="inlineStr">
        <is>
          <t xml:space="preserve">Department of Immunology</t>
        </is>
      </c>
      <c r="D6" t="inlineStr">
        <is>
          <t xml:space="preserve">0000-0002-1540-6244</t>
        </is>
      </c>
      <c r="E6" t="inlineStr">
        <is>
          <t xml:space="preserve">Suggested from Gloria B Choi's network</t>
        </is>
      </c>
      <c r="F6" t="inlineStr">
        <is>
          <t xml:space="preserve">2026-07-22</t>
        </is>
      </c>
      <c r="G6" t="inlineStr">
        <is>
          <t xml:space="preserve">2026-10-24</t>
        </is>
      </c>
      <c r="H6" t="inlineStr">
        <is>
          <t xml:space="preserve">61</t>
        </is>
      </c>
      <c r="I6" t="inlineStr">
        <is>
          <t xml:space="preserve">12</t>
        </is>
      </c>
      <c r="J6" t="inlineStr">
        <is>
          <t xml:space="preserve">0</t>
        </is>
      </c>
      <c r="K6" t="inlineStr">
        <is>
          <t xml:space="preserve">0</t>
        </is>
      </c>
      <c r="L6" t="inlineStr">
        <is>
          <t xml:space="preserve">2026-10-01</t>
        </is>
      </c>
      <c r="M6" t="inlineStr">
        <is>
          <t xml:space="preserve">29</t>
        </is>
      </c>
    </row>
    <row r="7">
      <c r="A7" t="inlineStr">
        <is>
          <t xml:space="preserve">Nels C Elde</t>
        </is>
      </c>
      <c r="B7" t="inlineStr">
        <is>
          <t xml:space="preserve">immunology</t>
        </is>
      </c>
      <c r="C7" t="inlineStr">
        <is>
          <t xml:space="preserve">Department of Human Genetics</t>
        </is>
      </c>
      <c r="D7" t="inlineStr">
        <is>
          <t xml:space="preserve">0000-0002-0426-1377</t>
        </is>
      </c>
      <c r="E7" t="inlineStr">
        <is>
          <t xml:space="preserve">Suggested from Gloria B Choi's network</t>
        </is>
      </c>
      <c r="F7" t="inlineStr">
        <is>
          <t xml:space="preserve">2026-08-04</t>
        </is>
      </c>
      <c r="G7" t="inlineStr">
        <is>
          <t xml:space="preserve">2026-10-24</t>
        </is>
      </c>
      <c r="H7" t="inlineStr">
        <is>
          <t xml:space="preserve">51</t>
        </is>
      </c>
      <c r="I7" t="inlineStr">
        <is>
          <t xml:space="preserve">1</t>
        </is>
      </c>
      <c r="J7" t="inlineStr">
        <is>
          <t xml:space="preserve">0</t>
        </is>
      </c>
      <c r="K7" t="inlineStr">
        <is>
          <t xml:space="preserve">0</t>
        </is>
      </c>
      <c r="L7" t="inlineStr">
        <is>
          <t xml:space="preserve">2026-04-14</t>
        </is>
      </c>
      <c r="M7" t="inlineStr">
        <is>
          <t xml:space="preserve">9</t>
        </is>
      </c>
    </row>
    <row r="8">
      <c r="A8" t="inlineStr">
        <is>
          <t xml:space="preserve">Ning Quan</t>
        </is>
      </c>
      <c r="B8" t="inlineStr">
        <is>
          <t xml:space="preserve">immunology</t>
        </is>
      </c>
      <c r="C8" t="inlineStr">
        <is>
          <t xml:space="preserve">Department of Biomedical Science</t>
        </is>
      </c>
      <c r="D8" t="inlineStr">
        <is>
          <t xml:space="preserve">0000-0001-7223-8593</t>
        </is>
      </c>
      <c r="E8" t="inlineStr">
        <is>
          <t xml:space="preserve">Suggested from Gloria B Choi's network</t>
        </is>
      </c>
      <c r="F8" t="inlineStr">
        <is>
          <t xml:space="preserve">2026-07-22</t>
        </is>
      </c>
      <c r="G8" t="inlineStr">
        <is>
          <t xml:space="preserve">2026-10-24</t>
        </is>
      </c>
      <c r="H8" t="inlineStr">
        <is>
          <t xml:space="preserve">65</t>
        </is>
      </c>
      <c r="I8" t="inlineStr">
        <is>
          <t xml:space="preserve">2</t>
        </is>
      </c>
      <c r="J8" t="inlineStr">
        <is>
          <t xml:space="preserve">0</t>
        </is>
      </c>
      <c r="K8" t="inlineStr">
        <is>
          <t xml:space="preserve">0</t>
        </is>
      </c>
      <c r="L8" t="inlineStr">
        <is>
          <t xml:space="preserve">2026-06-08</t>
        </is>
      </c>
      <c r="M8" t="inlineStr">
        <is>
          <t xml:space="preserve">12</t>
        </is>
      </c>
    </row>
  </sheetData>
  <autoFilter ref="A2:M8"/>
</worksheet>
</file>

<file path=docProps/app.xml><?xml version="1.0" encoding="utf-8"?>
<Properties xmlns="http://schemas.openxmlformats.org/officeDocument/2006/extended-properties">
  <Application>Autism Atlas</Application>
</Properties>
</file>

<file path=docProps/core.xml><?xml version="1.0" encoding="utf-8"?>
<cp:coreProperties xmlns:cp="http://schemas.openxmlformats.org/package/2006/metadata/core-properties" xmlns:dc="http://purl.org/dc/elements/1.1/" xmlns:dcterms="http://purl.org/dc/terms/" xmlns:xsi="http://www.w3.org/2001/XMLSchema-instance">
  <dc:title>Autism Atlas weekly briefing — last 7 days (2026-10-21 to 2026-10-28)</dc:title>
  <dc:creator>Autism Research Network Atlas</dc:creator>
  <dcterms:created xsi:type="dcterms:W3CDTF">2026-10-28T15:12:32Z</dcterms:created>
  <dcterms:modified xsi:type="dcterms:W3CDTF">2026-10-28T15:12:32Z</dcterms:modified>
</cp:coreProperties>
</file>